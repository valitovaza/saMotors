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arhamheydari/Downloads/"/>
    </mc:Choice>
  </mc:AlternateContent>
  <xr:revisionPtr revIDLastSave="0" documentId="13_ncr:20001_{6CDFC502-6521-3A4C-BE3C-A443ED161BCE}" xr6:coauthVersionLast="47" xr6:coauthVersionMax="47" xr10:uidLastSave="{00000000-0000-0000-0000-000000000000}"/>
  <bookViews>
    <workbookView xWindow="0" yWindow="500" windowWidth="35840" windowHeight="20400" tabRatio="999" xr2:uid="{00000000-000D-0000-FFFF-FFFF00000000}"/>
  </bookViews>
  <sheets>
    <sheet name="Front Sheet" sheetId="1" r:id="rId1"/>
    <sheet name="Sold Stock" sheetId="2" r:id="rId2"/>
    <sheet name="Stock Data" sheetId="3" r:id="rId3"/>
    <sheet name="Collection" sheetId="4" r:id="rId4"/>
    <sheet name="Investor Budget" sheetId="5" r:id="rId5"/>
    <sheet name="SOR" sheetId="6" r:id="rId6"/>
    <sheet name="Investor Car Expense" sheetId="7" r:id="rId7"/>
    <sheet name="Expense" sheetId="8" r:id="rId8"/>
    <sheet name="Fuel Expense" sheetId="9" r:id="rId9"/>
    <sheet name="Money in" sheetId="10" r:id="rId10"/>
    <sheet name="Cash Spending" sheetId="11" r:id="rId11"/>
    <sheet name="Money Out" sheetId="12" r:id="rId12"/>
    <sheet name="Kia Sportage ML20 YZW" sheetId="13" r:id="rId13"/>
    <sheet name="520D M Sport RJ65 VVN" sheetId="14" r:id="rId14"/>
    <sheet name="520D Lux NG64 EOH" sheetId="15" r:id="rId15"/>
    <sheet name="A6 YY62 XJW" sheetId="16" r:id="rId16"/>
    <sheet name="A6 Allroad DL15 WDA " sheetId="17" r:id="rId17"/>
    <sheet name="A3 E-Tron KM64 XCX" sheetId="18" r:id="rId18"/>
    <sheet name="Audi A6 VE16 TNO" sheetId="19" r:id="rId19"/>
    <sheet name="CLA Estate YR16 XCB" sheetId="20" r:id="rId20"/>
    <sheet name="Smart X65 YJL" sheetId="21" r:id="rId21"/>
    <sheet name="Kuga EJ68 WVM" sheetId="22" r:id="rId22"/>
    <sheet name="LY18 ZDV A200D" sheetId="23" r:id="rId23"/>
    <sheet name="Merc C220D SE66 OFZ" sheetId="24" r:id="rId24"/>
    <sheet name="Mazda CX3 AY17 YWX" sheetId="25" r:id="rId25"/>
    <sheet name="Mazda 3 FY67 WDE" sheetId="26" r:id="rId26"/>
    <sheet name="CLA 200 WU66 MJX" sheetId="27" r:id="rId27"/>
    <sheet name="BMW 330E RX67 WPN" sheetId="28" r:id="rId28"/>
    <sheet name="CLA 220 KU67 PWY" sheetId="29" r:id="rId29"/>
    <sheet name="Audi A4 BG63 VYM" sheetId="30" r:id="rId30"/>
    <sheet name="520D CF15 OWA" sheetId="31" r:id="rId31"/>
    <sheet name="520D YK66 DWU" sheetId="32" r:id="rId32"/>
    <sheet name="Mazda CX5 EJ14 PTX" sheetId="33" r:id="rId33"/>
    <sheet name="520D SA14 SYO" sheetId="34" r:id="rId34"/>
    <sheet name="Q5 KM62 XFN" sheetId="35" r:id="rId35"/>
    <sheet name="Merc C200 HF64 PLZ" sheetId="36" r:id="rId36"/>
    <sheet name="A5 LJ13 UAC" sheetId="37" r:id="rId37"/>
    <sheet name="Golf R VX16 XJU" sheetId="38" r:id="rId38"/>
    <sheet name="Passat PL18 KLM" sheetId="39" r:id="rId39"/>
    <sheet name="A6 DN14 WEP" sheetId="40" r:id="rId40"/>
    <sheet name="C Class BJ64 OSE" sheetId="41" r:id="rId41"/>
    <sheet name="Mazda 6 WA13XCV" sheetId="42" r:id="rId42"/>
    <sheet name="POLO GTI BK61 SWZ" sheetId="43" r:id="rId43"/>
    <sheet name="GOLF RJ14 YZN" sheetId="44" r:id="rId44"/>
    <sheet name="CLA FV14 MYL" sheetId="45" r:id="rId45"/>
    <sheet name="Fiesta FN62HKO" sheetId="46" r:id="rId46"/>
    <sheet name="Polo GTI VK62 THV" sheetId="47" r:id="rId47"/>
    <sheet name="Corsa YY65 CAU" sheetId="48" r:id="rId48"/>
    <sheet name="P2008 LS66 SVA" sheetId="49" r:id="rId49"/>
    <sheet name="BMW 318D S88 RDF" sheetId="50" r:id="rId50"/>
    <sheet name="P3008 MF15 OPJ" sheetId="51" r:id="rId51"/>
    <sheet name="Audi A1 EN63 TKA " sheetId="52" r:id="rId52"/>
    <sheet name="A5 WJ62 UVS" sheetId="53" r:id="rId53"/>
    <sheet name="Fabia GN66 YWZ PX" sheetId="54" r:id="rId54"/>
    <sheet name="Mokka LS13 UKA" sheetId="55" r:id="rId55"/>
    <sheet name="BMW 328i YB61" sheetId="56" r:id="rId56"/>
    <sheet name="Peugeot 2008 EU14" sheetId="57" r:id="rId57"/>
    <sheet name="BMW 518D PG66" sheetId="58" r:id="rId58"/>
    <sheet name="Ford Mondeo DG68" sheetId="59" r:id="rId59"/>
    <sheet name="Smart Premium SR16 HKT" sheetId="60" r:id="rId60"/>
    <sheet name="BMW 120D PE65 LXZ" sheetId="61" r:id="rId61"/>
    <sheet name="Suzuki Swift YB68 XYT" sheetId="62" r:id="rId62"/>
    <sheet name="Octavia VRS GY14 BZC" sheetId="63" r:id="rId63"/>
    <sheet name="BMW 520D EJ14" sheetId="64" r:id="rId64"/>
    <sheet name="Mitsubishi DN16 YXF" sheetId="65" r:id="rId65"/>
    <sheet name="Fiat 500 LK15" sheetId="66" r:id="rId66"/>
    <sheet name="Audi A3 LG61 RTV" sheetId="67" r:id="rId67"/>
    <sheet name="Audi A7 OV61 WKH" sheetId="68" r:id="rId68"/>
    <sheet name="Fiat 500 LM64 FWU" sheetId="69" r:id="rId69"/>
    <sheet name="Polo GT CV65" sheetId="70" r:id="rId70"/>
    <sheet name="Nissan Note RV62 UMD" sheetId="71" r:id="rId71"/>
    <sheet name="BMW GT SV63 KKO" sheetId="72" r:id="rId72"/>
    <sheet name="BMW SX14 KKH" sheetId="73" r:id="rId73"/>
    <sheet name="Polo CY64 ACO" sheetId="74" r:id="rId74"/>
    <sheet name="Audi A3 HG08 EPZ" sheetId="75" r:id="rId75"/>
    <sheet name="Mazda 6" sheetId="76" r:id="rId76"/>
    <sheet name="Honda CRV KU13 FBF" sheetId="77" r:id="rId77"/>
    <sheet name="Audi A4 YB15GRU" sheetId="78" r:id="rId78"/>
    <sheet name="Polo MF14 TUH" sheetId="79" r:id="rId79"/>
    <sheet name="Jaguar XF OY61 UTH" sheetId="80" r:id="rId80"/>
    <sheet name="Peugot 107 LN11 " sheetId="81" r:id="rId81"/>
    <sheet name="Polo BlueGT CE65 MJJ" sheetId="82" r:id="rId82"/>
    <sheet name="Golf Match LR15 EUT" sheetId="83" r:id="rId83"/>
    <sheet name="Kuga VX15 DYU" sheetId="84" r:id="rId84"/>
    <sheet name="Fiat 500 CX14 PVO" sheetId="85" r:id="rId85"/>
    <sheet name="Fiat 500 YB65 XPP" sheetId="86" r:id="rId86"/>
    <sheet name="Audi S5 SP08 KLX " sheetId="87" r:id="rId87"/>
    <sheet name="Audi A5 ET65 BWO" sheetId="88" r:id="rId88"/>
    <sheet name="Nissan Juke PK64 LRL" sheetId="89" r:id="rId89"/>
    <sheet name="Fiat 500 WM63 XCE Grey" sheetId="90" r:id="rId90"/>
    <sheet name="Nissan Micra NL55 YXG" sheetId="91" r:id="rId91"/>
    <sheet name="Polo HG57" sheetId="92" r:id="rId92"/>
    <sheet name="Volkswagen Polo JFZ 1824" sheetId="93" r:id="rId93"/>
    <sheet name="Smart Fortwo YT63 ENJ (B)" sheetId="94" r:id="rId94"/>
    <sheet name="Nissan Qashqai KM17 YTV" sheetId="95" r:id="rId95"/>
    <sheet name="Audi A1 EJ11" sheetId="96" r:id="rId96"/>
    <sheet name="Audi A1 MF12" sheetId="97" r:id="rId97"/>
    <sheet name="Ford Fiesta EA65 NDL" sheetId="98" r:id="rId98"/>
    <sheet name="Nissan Navara WD63 NXU" sheetId="99" r:id="rId99"/>
    <sheet name="Ford Fiesta MK59 FUV" sheetId="100" r:id="rId100"/>
    <sheet name="Nissan Note HY10 RRO" sheetId="101" r:id="rId101"/>
    <sheet name="Fiat 500 DP64CXV White" sheetId="102" r:id="rId102"/>
  </sheets>
  <definedNames>
    <definedName name="_xlnm._FilterDatabase" localSheetId="10" hidden="1">'Cash Spending'!$A$1:$D$45</definedName>
    <definedName name="_xlnm._FilterDatabase" localSheetId="76" hidden="1">'Honda CRV KU13 FBF'!$A$1:$B$21</definedName>
    <definedName name="_xlnm._FilterDatabase" localSheetId="6" hidden="1">'Investor Car Expense'!$A$1:$E$57</definedName>
    <definedName name="_xlnm._FilterDatabase" localSheetId="5" hidden="1">SOR!$H$1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1" i="102"/>
  <c r="E3" i="102" s="1"/>
  <c r="E2" i="101"/>
  <c r="E3" i="101" s="1"/>
  <c r="E1" i="101"/>
  <c r="E1" i="100"/>
  <c r="E3" i="100" s="1"/>
  <c r="E1" i="99"/>
  <c r="E3" i="99" s="1"/>
  <c r="B4" i="98"/>
  <c r="E1" i="98"/>
  <c r="E3" i="98" s="1"/>
  <c r="E9" i="98" s="1"/>
  <c r="G8" i="97"/>
  <c r="E1" i="97"/>
  <c r="E3" i="97" s="1"/>
  <c r="E1" i="96"/>
  <c r="E1" i="95"/>
  <c r="E3" i="95" s="1"/>
  <c r="E1" i="94"/>
  <c r="E3" i="94" s="1"/>
  <c r="E1" i="93"/>
  <c r="E3" i="93" s="1"/>
  <c r="E4" i="93" s="1"/>
  <c r="E1" i="92"/>
  <c r="E3" i="92" s="1"/>
  <c r="E1" i="91"/>
  <c r="E4" i="91" s="1"/>
  <c r="E4" i="90"/>
  <c r="E1" i="90"/>
  <c r="E1" i="89"/>
  <c r="E3" i="89" s="1"/>
  <c r="E12" i="88"/>
  <c r="E1" i="88"/>
  <c r="E3" i="88" s="1"/>
  <c r="B2" i="87"/>
  <c r="E1" i="87"/>
  <c r="E3" i="87" s="1"/>
  <c r="E1" i="86"/>
  <c r="E3" i="86" s="1"/>
  <c r="B10" i="85"/>
  <c r="E1" i="85" s="1"/>
  <c r="E3" i="85" s="1"/>
  <c r="B11" i="84"/>
  <c r="E1" i="84" s="1"/>
  <c r="E3" i="84" s="1"/>
  <c r="B8" i="83"/>
  <c r="E1" i="83" s="1"/>
  <c r="E3" i="83" s="1"/>
  <c r="E3" i="82"/>
  <c r="E1" i="82"/>
  <c r="B9" i="81"/>
  <c r="E1" i="81" s="1"/>
  <c r="E3" i="81" s="1"/>
  <c r="B10" i="80"/>
  <c r="E1" i="80" s="1"/>
  <c r="E4" i="80" s="1"/>
  <c r="E1" i="79"/>
  <c r="E3" i="79" s="1"/>
  <c r="B4" i="78"/>
  <c r="E1" i="78"/>
  <c r="E3" i="78" s="1"/>
  <c r="E1" i="77"/>
  <c r="E3" i="77" s="1"/>
  <c r="E3" i="76"/>
  <c r="E1" i="76"/>
  <c r="E1" i="74"/>
  <c r="E4" i="74" s="1"/>
  <c r="E1" i="73"/>
  <c r="E3" i="73" s="1"/>
  <c r="E4" i="73" s="1"/>
  <c r="H6" i="72"/>
  <c r="B3" i="72"/>
  <c r="E1" i="72" s="1"/>
  <c r="E3" i="72" s="1"/>
  <c r="B7" i="71"/>
  <c r="E3" i="71"/>
  <c r="B3" i="71"/>
  <c r="E1" i="71"/>
  <c r="B6" i="70"/>
  <c r="E1" i="70"/>
  <c r="E3" i="70" s="1"/>
  <c r="E4" i="70" s="1"/>
  <c r="B5" i="69"/>
  <c r="E1" i="69"/>
  <c r="E3" i="69" s="1"/>
  <c r="H18" i="68"/>
  <c r="B6" i="68"/>
  <c r="E1" i="68" s="1"/>
  <c r="E3" i="68" s="1"/>
  <c r="E1" i="67"/>
  <c r="E3" i="67" s="1"/>
  <c r="E3" i="66"/>
  <c r="E1" i="66"/>
  <c r="E3" i="65"/>
  <c r="E1" i="65"/>
  <c r="E1" i="64"/>
  <c r="E3" i="64" s="1"/>
  <c r="E1" i="63"/>
  <c r="E3" i="63" s="1"/>
  <c r="E3" i="62"/>
  <c r="E1" i="62"/>
  <c r="E1" i="61"/>
  <c r="E3" i="61" s="1"/>
  <c r="E3" i="60"/>
  <c r="E1" i="60"/>
  <c r="B5" i="59"/>
  <c r="B4" i="59"/>
  <c r="E1" i="59" s="1"/>
  <c r="E3" i="59" s="1"/>
  <c r="F3" i="59" s="1"/>
  <c r="B6" i="58"/>
  <c r="B5" i="58"/>
  <c r="E1" i="58" s="1"/>
  <c r="E3" i="58" s="1"/>
  <c r="E3" i="57"/>
  <c r="E1" i="57"/>
  <c r="E1" i="56"/>
  <c r="E3" i="56" s="1"/>
  <c r="E3" i="55"/>
  <c r="E1" i="54"/>
  <c r="E3" i="54" s="1"/>
  <c r="E1" i="53"/>
  <c r="E3" i="53" s="1"/>
  <c r="B4" i="52"/>
  <c r="E1" i="52" s="1"/>
  <c r="E3" i="52" s="1"/>
  <c r="B8" i="51"/>
  <c r="E1" i="51" s="1"/>
  <c r="E3" i="51" s="1"/>
  <c r="B5" i="50"/>
  <c r="E1" i="50" s="1"/>
  <c r="E3" i="50" s="1"/>
  <c r="E3" i="49"/>
  <c r="E1" i="49"/>
  <c r="B7" i="48"/>
  <c r="E1" i="48" s="1"/>
  <c r="E3" i="48" s="1"/>
  <c r="E1" i="47"/>
  <c r="E3" i="47" s="1"/>
  <c r="E3" i="46"/>
  <c r="E1" i="46"/>
  <c r="E3" i="45"/>
  <c r="E1" i="45"/>
  <c r="B7" i="44"/>
  <c r="B6" i="44"/>
  <c r="E1" i="44" s="1"/>
  <c r="E3" i="44" s="1"/>
  <c r="B7" i="43"/>
  <c r="B6" i="43"/>
  <c r="B4" i="43"/>
  <c r="E1" i="43" s="1"/>
  <c r="E3" i="43" s="1"/>
  <c r="E1" i="42"/>
  <c r="E3" i="42" s="1"/>
  <c r="B4" i="41"/>
  <c r="E1" i="41"/>
  <c r="E3" i="41" s="1"/>
  <c r="B4" i="40"/>
  <c r="E1" i="40"/>
  <c r="E3" i="40" s="1"/>
  <c r="E1" i="39"/>
  <c r="E3" i="39" s="1"/>
  <c r="E3" i="38"/>
  <c r="E1" i="38"/>
  <c r="E1" i="37"/>
  <c r="E3" i="37" s="1"/>
  <c r="E3" i="36"/>
  <c r="E1" i="36"/>
  <c r="E3" i="35"/>
  <c r="E1" i="35"/>
  <c r="E1" i="34"/>
  <c r="E3" i="34" s="1"/>
  <c r="B6" i="33"/>
  <c r="E1" i="33"/>
  <c r="E3" i="33" s="1"/>
  <c r="E3" i="32"/>
  <c r="E1" i="32"/>
  <c r="B4" i="31"/>
  <c r="E1" i="31" s="1"/>
  <c r="E3" i="31" s="1"/>
  <c r="E3" i="30"/>
  <c r="E1" i="30"/>
  <c r="B4" i="29"/>
  <c r="D6" i="29" s="1"/>
  <c r="E3" i="28"/>
  <c r="E2" i="28"/>
  <c r="E1" i="28"/>
  <c r="E3" i="27"/>
  <c r="E1" i="27"/>
  <c r="E1" i="26"/>
  <c r="E3" i="26" s="1"/>
  <c r="E1" i="25"/>
  <c r="E3" i="25" s="1"/>
  <c r="E3" i="24"/>
  <c r="E1" i="24"/>
  <c r="E1" i="22"/>
  <c r="E3" i="22" s="1"/>
  <c r="E3" i="21"/>
  <c r="E1" i="21"/>
  <c r="B12" i="20"/>
  <c r="B11" i="20"/>
  <c r="B10" i="20"/>
  <c r="B4" i="20"/>
  <c r="E1" i="20" s="1"/>
  <c r="E3" i="20" s="1"/>
  <c r="B8" i="19"/>
  <c r="B7" i="19"/>
  <c r="B6" i="19"/>
  <c r="B4" i="19"/>
  <c r="E1" i="19" s="1"/>
  <c r="E3" i="19" s="1"/>
  <c r="B4" i="18"/>
  <c r="E1" i="18" s="1"/>
  <c r="E3" i="18" s="1"/>
  <c r="B4" i="17"/>
  <c r="E1" i="17" s="1"/>
  <c r="E3" i="17" s="1"/>
  <c r="E3" i="16"/>
  <c r="E1" i="16"/>
  <c r="E1" i="15"/>
  <c r="E3" i="15" s="1"/>
  <c r="E3" i="14"/>
  <c r="E1" i="14"/>
  <c r="E3" i="13"/>
  <c r="E1" i="13"/>
  <c r="D14" i="12"/>
  <c r="D9" i="12"/>
  <c r="D4" i="12"/>
  <c r="D36" i="10"/>
  <c r="D32" i="10"/>
  <c r="D30" i="10"/>
  <c r="D19" i="10"/>
  <c r="D24" i="10" s="1"/>
  <c r="J11" i="1" s="1"/>
  <c r="D15" i="10"/>
  <c r="D8" i="10"/>
  <c r="D10" i="10" s="1"/>
  <c r="J9" i="1" s="1"/>
  <c r="D5" i="10"/>
  <c r="D111" i="9"/>
  <c r="D99" i="9"/>
  <c r="D86" i="9"/>
  <c r="D72" i="9"/>
  <c r="D57" i="9"/>
  <c r="D49" i="9"/>
  <c r="D46" i="9"/>
  <c r="D39" i="9"/>
  <c r="D31" i="9"/>
  <c r="D20" i="9"/>
  <c r="D9" i="9"/>
  <c r="E295" i="8"/>
  <c r="E13" i="1" s="1"/>
  <c r="E265" i="8"/>
  <c r="E12" i="1" s="1"/>
  <c r="E239" i="8"/>
  <c r="E220" i="8"/>
  <c r="E243" i="8" s="1"/>
  <c r="E11" i="1" s="1"/>
  <c r="E211" i="8"/>
  <c r="E10" i="1" s="1"/>
  <c r="E199" i="8"/>
  <c r="E184" i="8"/>
  <c r="E9" i="1" s="1"/>
  <c r="E140" i="8"/>
  <c r="E8" i="1" s="1"/>
  <c r="E134" i="8"/>
  <c r="E130" i="8"/>
  <c r="E107" i="8"/>
  <c r="E7" i="1" s="1"/>
  <c r="E76" i="8"/>
  <c r="E6" i="1" s="1"/>
  <c r="M6" i="1" s="1"/>
  <c r="E50" i="8"/>
  <c r="E5" i="1" s="1"/>
  <c r="M5" i="1" s="1"/>
  <c r="E29" i="8"/>
  <c r="E4" i="1" s="1"/>
  <c r="M4" i="1" s="1"/>
  <c r="E12" i="8"/>
  <c r="D56" i="7"/>
  <c r="D38" i="7"/>
  <c r="H12" i="1" s="1"/>
  <c r="D27" i="7"/>
  <c r="D14" i="7"/>
  <c r="D25" i="7" s="1"/>
  <c r="H11" i="1" s="1"/>
  <c r="D8" i="7"/>
  <c r="H10" i="1" s="1"/>
  <c r="H20" i="1" s="1"/>
  <c r="F4" i="6"/>
  <c r="F2" i="6"/>
  <c r="D8" i="5"/>
  <c r="G8" i="5" s="1"/>
  <c r="D7" i="5"/>
  <c r="B4" i="5"/>
  <c r="B3" i="5"/>
  <c r="B2" i="5"/>
  <c r="K290" i="3"/>
  <c r="J290" i="3"/>
  <c r="J289" i="3"/>
  <c r="K289" i="3" s="1"/>
  <c r="K288" i="3"/>
  <c r="J288" i="3"/>
  <c r="K287" i="3"/>
  <c r="J287" i="3"/>
  <c r="K286" i="3"/>
  <c r="J286" i="3"/>
  <c r="K285" i="3"/>
  <c r="J285" i="3"/>
  <c r="J284" i="3"/>
  <c r="K284" i="3" s="1"/>
  <c r="J283" i="3"/>
  <c r="K283" i="3" s="1"/>
  <c r="K282" i="3"/>
  <c r="J282" i="3"/>
  <c r="K281" i="3"/>
  <c r="J281" i="3"/>
  <c r="K280" i="3"/>
  <c r="J280" i="3"/>
  <c r="K279" i="3"/>
  <c r="J279" i="3"/>
  <c r="J278" i="3"/>
  <c r="K278" i="3" s="1"/>
  <c r="M277" i="3"/>
  <c r="K277" i="3"/>
  <c r="F127" i="2" s="1"/>
  <c r="J127" i="2" s="1"/>
  <c r="J277" i="3"/>
  <c r="J276" i="3"/>
  <c r="K276" i="3" s="1"/>
  <c r="E6" i="5" s="1"/>
  <c r="K275" i="3"/>
  <c r="F129" i="2" s="1"/>
  <c r="J129" i="2" s="1"/>
  <c r="J275" i="3"/>
  <c r="M275" i="3" s="1"/>
  <c r="K274" i="3"/>
  <c r="J274" i="3"/>
  <c r="J273" i="3"/>
  <c r="K273" i="3" s="1"/>
  <c r="J272" i="3"/>
  <c r="K272" i="3" s="1"/>
  <c r="K271" i="3"/>
  <c r="J271" i="3"/>
  <c r="K270" i="3"/>
  <c r="J270" i="3"/>
  <c r="J269" i="3"/>
  <c r="M269" i="3" s="1"/>
  <c r="J268" i="3"/>
  <c r="K268" i="3" s="1"/>
  <c r="J267" i="3"/>
  <c r="K267" i="3" s="1"/>
  <c r="K266" i="3"/>
  <c r="J266" i="3"/>
  <c r="K265" i="3"/>
  <c r="J265" i="3"/>
  <c r="M265" i="3" s="1"/>
  <c r="J264" i="3"/>
  <c r="M264" i="3" s="1"/>
  <c r="J263" i="3"/>
  <c r="K263" i="3" s="1"/>
  <c r="J262" i="3"/>
  <c r="K262" i="3" s="1"/>
  <c r="M261" i="3"/>
  <c r="K261" i="3"/>
  <c r="F130" i="2" s="1"/>
  <c r="J130" i="2" s="1"/>
  <c r="L130" i="2" s="1"/>
  <c r="J261" i="3"/>
  <c r="K260" i="3"/>
  <c r="J260" i="3"/>
  <c r="K259" i="3"/>
  <c r="J259" i="3"/>
  <c r="K258" i="3"/>
  <c r="J258" i="3"/>
  <c r="J257" i="3"/>
  <c r="K257" i="3" s="1"/>
  <c r="M256" i="3"/>
  <c r="K256" i="3"/>
  <c r="J256" i="3"/>
  <c r="J254" i="3"/>
  <c r="K254" i="3" s="1"/>
  <c r="J253" i="3"/>
  <c r="K253" i="3" s="1"/>
  <c r="J252" i="3"/>
  <c r="K252" i="3" s="1"/>
  <c r="J251" i="3"/>
  <c r="K251" i="3" s="1"/>
  <c r="J250" i="3"/>
  <c r="K250" i="3" s="1"/>
  <c r="K249" i="3"/>
  <c r="J249" i="3"/>
  <c r="J248" i="3"/>
  <c r="K248" i="3" s="1"/>
  <c r="F116" i="2" s="1"/>
  <c r="B2" i="23" s="1"/>
  <c r="E1" i="23" s="1"/>
  <c r="E3" i="23" s="1"/>
  <c r="J247" i="3"/>
  <c r="K247" i="3" s="1"/>
  <c r="J246" i="3"/>
  <c r="K246" i="3" s="1"/>
  <c r="J245" i="3"/>
  <c r="K245" i="3" s="1"/>
  <c r="J244" i="3"/>
  <c r="K244" i="3" s="1"/>
  <c r="K243" i="3"/>
  <c r="J243" i="3"/>
  <c r="K242" i="3"/>
  <c r="F117" i="2" s="1"/>
  <c r="J117" i="2" s="1"/>
  <c r="J242" i="3"/>
  <c r="M242" i="3" s="1"/>
  <c r="K241" i="3"/>
  <c r="J241" i="3"/>
  <c r="K240" i="3"/>
  <c r="J240" i="3"/>
  <c r="J239" i="3"/>
  <c r="M239" i="3" s="1"/>
  <c r="K238" i="3"/>
  <c r="J238" i="3"/>
  <c r="K237" i="3"/>
  <c r="F110" i="2" s="1"/>
  <c r="J110" i="2" s="1"/>
  <c r="J237" i="3"/>
  <c r="M237" i="3" s="1"/>
  <c r="K236" i="3"/>
  <c r="J236" i="3"/>
  <c r="M235" i="3"/>
  <c r="J235" i="3"/>
  <c r="K235" i="3" s="1"/>
  <c r="J234" i="3"/>
  <c r="K234" i="3" s="1"/>
  <c r="E5" i="5" s="1"/>
  <c r="K233" i="3"/>
  <c r="J233" i="3"/>
  <c r="J232" i="3"/>
  <c r="K232" i="3" s="1"/>
  <c r="J231" i="3"/>
  <c r="K231" i="3" s="1"/>
  <c r="M230" i="3"/>
  <c r="K230" i="3"/>
  <c r="F115" i="2" s="1"/>
  <c r="J115" i="2" s="1"/>
  <c r="J230" i="3"/>
  <c r="J229" i="3"/>
  <c r="M229" i="3" s="1"/>
  <c r="K228" i="3"/>
  <c r="J228" i="3"/>
  <c r="J227" i="3"/>
  <c r="K227" i="3" s="1"/>
  <c r="M226" i="3"/>
  <c r="K226" i="3"/>
  <c r="J226" i="3"/>
  <c r="M225" i="3"/>
  <c r="J225" i="3"/>
  <c r="K225" i="3" s="1"/>
  <c r="F112" i="2" s="1"/>
  <c r="J112" i="2" s="1"/>
  <c r="J224" i="3"/>
  <c r="K224" i="3" s="1"/>
  <c r="K223" i="3"/>
  <c r="J223" i="3"/>
  <c r="K222" i="3"/>
  <c r="F107" i="2" s="1"/>
  <c r="J107" i="2" s="1"/>
  <c r="L107" i="2" s="1"/>
  <c r="J222" i="3"/>
  <c r="M222" i="3" s="1"/>
  <c r="J221" i="3"/>
  <c r="M221" i="3" s="1"/>
  <c r="J220" i="3"/>
  <c r="K220" i="3" s="1"/>
  <c r="J219" i="3"/>
  <c r="K219" i="3" s="1"/>
  <c r="M218" i="3"/>
  <c r="K218" i="3"/>
  <c r="J218" i="3"/>
  <c r="M217" i="3"/>
  <c r="J217" i="3"/>
  <c r="K217" i="3" s="1"/>
  <c r="F118" i="2" s="1"/>
  <c r="J118" i="2" s="1"/>
  <c r="M216" i="3"/>
  <c r="K216" i="3"/>
  <c r="F106" i="2" s="1"/>
  <c r="J106" i="2" s="1"/>
  <c r="J216" i="3"/>
  <c r="J215" i="3"/>
  <c r="K215" i="3" s="1"/>
  <c r="J214" i="3"/>
  <c r="K214" i="3" s="1"/>
  <c r="K212" i="3"/>
  <c r="J212" i="3"/>
  <c r="K211" i="3"/>
  <c r="J211" i="3"/>
  <c r="K210" i="3"/>
  <c r="J210" i="3"/>
  <c r="K209" i="3"/>
  <c r="J209" i="3"/>
  <c r="J208" i="3"/>
  <c r="K208" i="3" s="1"/>
  <c r="J207" i="3"/>
  <c r="K207" i="3" s="1"/>
  <c r="K206" i="3"/>
  <c r="J206" i="3"/>
  <c r="K205" i="3"/>
  <c r="J205" i="3"/>
  <c r="K204" i="3"/>
  <c r="J204" i="3"/>
  <c r="K203" i="3"/>
  <c r="J203" i="3"/>
  <c r="J202" i="3"/>
  <c r="K202" i="3" s="1"/>
  <c r="J201" i="3"/>
  <c r="K201" i="3" s="1"/>
  <c r="J200" i="3"/>
  <c r="M200" i="3" s="1"/>
  <c r="J199" i="3"/>
  <c r="K199" i="3" s="1"/>
  <c r="J198" i="3"/>
  <c r="K198" i="3" s="1"/>
  <c r="J197" i="3"/>
  <c r="K197" i="3" s="1"/>
  <c r="J196" i="3"/>
  <c r="M196" i="3" s="1"/>
  <c r="M195" i="3"/>
  <c r="L195" i="3"/>
  <c r="K195" i="3"/>
  <c r="F97" i="2" s="1"/>
  <c r="J195" i="3"/>
  <c r="K194" i="3"/>
  <c r="J194" i="3"/>
  <c r="K193" i="3"/>
  <c r="J193" i="3"/>
  <c r="J192" i="3"/>
  <c r="M192" i="3" s="1"/>
  <c r="K191" i="3"/>
  <c r="J191" i="3"/>
  <c r="J190" i="3"/>
  <c r="K190" i="3" s="1"/>
  <c r="J189" i="3"/>
  <c r="K189" i="3" s="1"/>
  <c r="J188" i="3"/>
  <c r="K188" i="3" s="1"/>
  <c r="J187" i="3"/>
  <c r="K187" i="3" s="1"/>
  <c r="J186" i="3"/>
  <c r="K186" i="3" s="1"/>
  <c r="F93" i="2" s="1"/>
  <c r="J93" i="2" s="1"/>
  <c r="K185" i="3"/>
  <c r="J185" i="3"/>
  <c r="K184" i="3"/>
  <c r="J184" i="3"/>
  <c r="K183" i="3"/>
  <c r="J183" i="3"/>
  <c r="K182" i="3"/>
  <c r="J182" i="3"/>
  <c r="J181" i="3"/>
  <c r="M181" i="3" s="1"/>
  <c r="M180" i="3"/>
  <c r="K180" i="3"/>
  <c r="J180" i="3"/>
  <c r="M179" i="3"/>
  <c r="J179" i="3"/>
  <c r="K179" i="3" s="1"/>
  <c r="F99" i="2" s="1"/>
  <c r="J99" i="2" s="1"/>
  <c r="M178" i="3"/>
  <c r="K178" i="3"/>
  <c r="F100" i="2" s="1"/>
  <c r="J100" i="2" s="1"/>
  <c r="J178" i="3"/>
  <c r="J177" i="3"/>
  <c r="K177" i="3" s="1"/>
  <c r="M176" i="3"/>
  <c r="K176" i="3"/>
  <c r="F94" i="2" s="1"/>
  <c r="J94" i="2" s="1"/>
  <c r="J176" i="3"/>
  <c r="J174" i="3"/>
  <c r="K174" i="3" s="1"/>
  <c r="M173" i="3"/>
  <c r="K173" i="3"/>
  <c r="J173" i="3"/>
  <c r="K172" i="3"/>
  <c r="J172" i="3"/>
  <c r="J171" i="3"/>
  <c r="K171" i="3" s="1"/>
  <c r="M170" i="3"/>
  <c r="K170" i="3"/>
  <c r="F85" i="2" s="1"/>
  <c r="J170" i="3"/>
  <c r="J169" i="3"/>
  <c r="K169" i="3" s="1"/>
  <c r="J168" i="3"/>
  <c r="K168" i="3" s="1"/>
  <c r="J167" i="3"/>
  <c r="K167" i="3" s="1"/>
  <c r="J166" i="3"/>
  <c r="M166" i="3" s="1"/>
  <c r="J165" i="3"/>
  <c r="K165" i="3" s="1"/>
  <c r="K164" i="3"/>
  <c r="J164" i="3"/>
  <c r="K163" i="3"/>
  <c r="J163" i="3"/>
  <c r="K162" i="3"/>
  <c r="J162" i="3"/>
  <c r="K161" i="3"/>
  <c r="J161" i="3"/>
  <c r="J160" i="3"/>
  <c r="M160" i="3" s="1"/>
  <c r="K159" i="3"/>
  <c r="J159" i="3"/>
  <c r="J158" i="3"/>
  <c r="K158" i="3" s="1"/>
  <c r="M157" i="3"/>
  <c r="K157" i="3"/>
  <c r="F83" i="2" s="1"/>
  <c r="J83" i="2" s="1"/>
  <c r="L83" i="2" s="1"/>
  <c r="J157" i="3"/>
  <c r="M156" i="3"/>
  <c r="J156" i="3"/>
  <c r="I156" i="3"/>
  <c r="K156" i="3" s="1"/>
  <c r="F80" i="2" s="1"/>
  <c r="J80" i="2" s="1"/>
  <c r="M155" i="3"/>
  <c r="K155" i="3"/>
  <c r="F82" i="2" s="1"/>
  <c r="J82" i="2" s="1"/>
  <c r="J155" i="3"/>
  <c r="I155" i="3"/>
  <c r="K154" i="3"/>
  <c r="J154" i="3"/>
  <c r="K153" i="3"/>
  <c r="J153" i="3"/>
  <c r="M152" i="3"/>
  <c r="J152" i="3"/>
  <c r="K152" i="3" s="1"/>
  <c r="F86" i="2" s="1"/>
  <c r="J86" i="2" s="1"/>
  <c r="K86" i="2" s="1"/>
  <c r="J151" i="3"/>
  <c r="K151" i="3" s="1"/>
  <c r="M150" i="3"/>
  <c r="J150" i="3"/>
  <c r="I150" i="3"/>
  <c r="K150" i="3" s="1"/>
  <c r="F87" i="2" s="1"/>
  <c r="J87" i="2" s="1"/>
  <c r="L87" i="2" s="1"/>
  <c r="M149" i="3"/>
  <c r="K149" i="3"/>
  <c r="F89" i="2" s="1"/>
  <c r="J89" i="2" s="1"/>
  <c r="J149" i="3"/>
  <c r="K147" i="3"/>
  <c r="J147" i="3"/>
  <c r="J146" i="3"/>
  <c r="K146" i="3" s="1"/>
  <c r="J145" i="3"/>
  <c r="K145" i="3" s="1"/>
  <c r="J144" i="3"/>
  <c r="M144" i="3" s="1"/>
  <c r="J143" i="3"/>
  <c r="K143" i="3" s="1"/>
  <c r="J142" i="3"/>
  <c r="K142" i="3" s="1"/>
  <c r="J141" i="3"/>
  <c r="K141" i="3" s="1"/>
  <c r="J140" i="3"/>
  <c r="K140" i="3" s="1"/>
  <c r="J139" i="3"/>
  <c r="K139" i="3" s="1"/>
  <c r="K138" i="3"/>
  <c r="K137" i="3"/>
  <c r="J137" i="3"/>
  <c r="K136" i="3"/>
  <c r="J136" i="3"/>
  <c r="J135" i="3"/>
  <c r="I135" i="3"/>
  <c r="K135" i="3" s="1"/>
  <c r="K134" i="3"/>
  <c r="J134" i="3"/>
  <c r="I134" i="3"/>
  <c r="K133" i="3"/>
  <c r="J133" i="3"/>
  <c r="J132" i="3"/>
  <c r="M132" i="3" s="1"/>
  <c r="J131" i="3"/>
  <c r="K131" i="3" s="1"/>
  <c r="J130" i="3"/>
  <c r="K130" i="3" s="1"/>
  <c r="M129" i="3"/>
  <c r="J129" i="3"/>
  <c r="I129" i="3"/>
  <c r="K129" i="3" s="1"/>
  <c r="F66" i="2" s="1"/>
  <c r="J66" i="2" s="1"/>
  <c r="K66" i="2" s="1"/>
  <c r="M128" i="3"/>
  <c r="K128" i="3"/>
  <c r="J128" i="3"/>
  <c r="K127" i="3"/>
  <c r="J127" i="3"/>
  <c r="J126" i="3"/>
  <c r="I126" i="3"/>
  <c r="K126" i="3" s="1"/>
  <c r="K125" i="3"/>
  <c r="M125" i="3" s="1"/>
  <c r="J125" i="3"/>
  <c r="K124" i="3"/>
  <c r="J124" i="3"/>
  <c r="J123" i="3"/>
  <c r="M123" i="3" s="1"/>
  <c r="J122" i="3"/>
  <c r="I122" i="3"/>
  <c r="M122" i="3" s="1"/>
  <c r="K121" i="3"/>
  <c r="J121" i="3"/>
  <c r="K120" i="3"/>
  <c r="F65" i="2" s="1"/>
  <c r="J65" i="2" s="1"/>
  <c r="J120" i="3"/>
  <c r="M120" i="3" s="1"/>
  <c r="J119" i="3"/>
  <c r="K119" i="3" s="1"/>
  <c r="J117" i="3"/>
  <c r="M117" i="3" s="1"/>
  <c r="J116" i="3"/>
  <c r="K116" i="3" s="1"/>
  <c r="K115" i="3"/>
  <c r="J115" i="3"/>
  <c r="K114" i="3"/>
  <c r="J114" i="3"/>
  <c r="J113" i="3"/>
  <c r="M113" i="3" s="1"/>
  <c r="J112" i="3"/>
  <c r="K112" i="3" s="1"/>
  <c r="J111" i="3"/>
  <c r="K111" i="3" s="1"/>
  <c r="F60" i="2" s="1"/>
  <c r="J60" i="2" s="1"/>
  <c r="L60" i="2" s="1"/>
  <c r="K110" i="3"/>
  <c r="J110" i="3"/>
  <c r="K109" i="3"/>
  <c r="J109" i="3"/>
  <c r="I109" i="3"/>
  <c r="M109" i="3" s="1"/>
  <c r="J108" i="3"/>
  <c r="K108" i="3" s="1"/>
  <c r="I108" i="3"/>
  <c r="J107" i="3"/>
  <c r="I107" i="3"/>
  <c r="M107" i="3" s="1"/>
  <c r="J106" i="3"/>
  <c r="I106" i="3"/>
  <c r="K106" i="3" s="1"/>
  <c r="M105" i="3"/>
  <c r="K105" i="3"/>
  <c r="J105" i="3"/>
  <c r="K104" i="3"/>
  <c r="J104" i="3"/>
  <c r="J103" i="3"/>
  <c r="M103" i="3" s="1"/>
  <c r="K102" i="3"/>
  <c r="J102" i="3"/>
  <c r="J101" i="3"/>
  <c r="K101" i="3" s="1"/>
  <c r="J100" i="3"/>
  <c r="K100" i="3" s="1"/>
  <c r="J99" i="3"/>
  <c r="K99" i="3" s="1"/>
  <c r="I99" i="3"/>
  <c r="J98" i="3"/>
  <c r="M98" i="3" s="1"/>
  <c r="J97" i="3"/>
  <c r="J96" i="3"/>
  <c r="M96" i="3" s="1"/>
  <c r="M95" i="3"/>
  <c r="K95" i="3"/>
  <c r="F59" i="2" s="1"/>
  <c r="J59" i="2" s="1"/>
  <c r="K59" i="2" s="1"/>
  <c r="J95" i="3"/>
  <c r="M94" i="3"/>
  <c r="J94" i="3"/>
  <c r="K94" i="3" s="1"/>
  <c r="M93" i="3"/>
  <c r="K93" i="3"/>
  <c r="M92" i="3"/>
  <c r="K92" i="3"/>
  <c r="F52" i="2" s="1"/>
  <c r="J52" i="2" s="1"/>
  <c r="J92" i="3"/>
  <c r="M91" i="3"/>
  <c r="K91" i="3"/>
  <c r="F55" i="2" s="1"/>
  <c r="J55" i="2" s="1"/>
  <c r="J90" i="3"/>
  <c r="M90" i="3" s="1"/>
  <c r="M89" i="3"/>
  <c r="K89" i="3"/>
  <c r="M88" i="3"/>
  <c r="K88" i="3"/>
  <c r="F51" i="2" s="1"/>
  <c r="J51" i="2" s="1"/>
  <c r="L51" i="2" s="1"/>
  <c r="K87" i="3"/>
  <c r="J87" i="3"/>
  <c r="M86" i="3"/>
  <c r="K86" i="3"/>
  <c r="F47" i="2" s="1"/>
  <c r="J47" i="2" s="1"/>
  <c r="M85" i="3"/>
  <c r="K85" i="3"/>
  <c r="F53" i="2" s="1"/>
  <c r="J53" i="2" s="1"/>
  <c r="L53" i="2" s="1"/>
  <c r="J84" i="3"/>
  <c r="K84" i="3" s="1"/>
  <c r="K82" i="3"/>
  <c r="K81" i="3"/>
  <c r="K80" i="3"/>
  <c r="K79" i="3"/>
  <c r="M78" i="3"/>
  <c r="K78" i="3"/>
  <c r="K77" i="3"/>
  <c r="K76" i="3"/>
  <c r="K75" i="3"/>
  <c r="K74" i="3"/>
  <c r="M73" i="3"/>
  <c r="K73" i="3"/>
  <c r="M72" i="3"/>
  <c r="K72" i="3"/>
  <c r="K71" i="3"/>
  <c r="K70" i="3"/>
  <c r="K69" i="3"/>
  <c r="M68" i="3"/>
  <c r="K68" i="3"/>
  <c r="M67" i="3"/>
  <c r="K67" i="3"/>
  <c r="M66" i="3"/>
  <c r="K66" i="3"/>
  <c r="M65" i="3"/>
  <c r="K65" i="3"/>
  <c r="M64" i="3"/>
  <c r="K64" i="3"/>
  <c r="K63" i="3"/>
  <c r="K62" i="3"/>
  <c r="K61" i="3"/>
  <c r="K60" i="3"/>
  <c r="K58" i="3"/>
  <c r="K57" i="3"/>
  <c r="K56" i="3"/>
  <c r="K55" i="3"/>
  <c r="K54" i="3"/>
  <c r="M53" i="3"/>
  <c r="K53" i="3"/>
  <c r="K52" i="3"/>
  <c r="M51" i="3"/>
  <c r="K51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K43" i="3"/>
  <c r="M42" i="3"/>
  <c r="K42" i="3"/>
  <c r="M41" i="3"/>
  <c r="K41" i="3"/>
  <c r="K40" i="3"/>
  <c r="M39" i="3"/>
  <c r="K39" i="3"/>
  <c r="K38" i="3"/>
  <c r="K37" i="3"/>
  <c r="M35" i="3"/>
  <c r="K35" i="3"/>
  <c r="K34" i="3"/>
  <c r="K33" i="3"/>
  <c r="K32" i="3"/>
  <c r="M31" i="3"/>
  <c r="K31" i="3"/>
  <c r="M30" i="3"/>
  <c r="K30" i="3"/>
  <c r="K29" i="3"/>
  <c r="K28" i="3"/>
  <c r="K27" i="3"/>
  <c r="M26" i="3"/>
  <c r="K26" i="3"/>
  <c r="M25" i="3"/>
  <c r="K25" i="3"/>
  <c r="M24" i="3"/>
  <c r="K24" i="3"/>
  <c r="K23" i="3"/>
  <c r="M22" i="3"/>
  <c r="K22" i="3"/>
  <c r="K20" i="3"/>
  <c r="K19" i="3"/>
  <c r="K18" i="3"/>
  <c r="K17" i="3"/>
  <c r="K16" i="3"/>
  <c r="M15" i="3"/>
  <c r="K15" i="3"/>
  <c r="M14" i="3"/>
  <c r="K14" i="3"/>
  <c r="K13" i="3"/>
  <c r="M12" i="3"/>
  <c r="K12" i="3"/>
  <c r="M11" i="3"/>
  <c r="K11" i="3"/>
  <c r="K10" i="3"/>
  <c r="M9" i="3"/>
  <c r="K9" i="3"/>
  <c r="K8" i="3"/>
  <c r="M7" i="3"/>
  <c r="K7" i="3"/>
  <c r="M6" i="3"/>
  <c r="K6" i="3"/>
  <c r="K5" i="3"/>
  <c r="M4" i="3"/>
  <c r="K4" i="3"/>
  <c r="K3" i="3"/>
  <c r="J128" i="2"/>
  <c r="L128" i="2" s="1"/>
  <c r="K127" i="2"/>
  <c r="F126" i="2"/>
  <c r="J126" i="2" s="1"/>
  <c r="L126" i="2" s="1"/>
  <c r="F124" i="2"/>
  <c r="J124" i="2" s="1"/>
  <c r="F114" i="2"/>
  <c r="J114" i="2" s="1"/>
  <c r="F111" i="2"/>
  <c r="J111" i="2" s="1"/>
  <c r="F108" i="2"/>
  <c r="J108" i="2" s="1"/>
  <c r="F101" i="2"/>
  <c r="J101" i="2" s="1"/>
  <c r="L101" i="2" s="1"/>
  <c r="G96" i="2"/>
  <c r="F88" i="2"/>
  <c r="J88" i="2" s="1"/>
  <c r="L88" i="2" s="1"/>
  <c r="G85" i="2"/>
  <c r="C10" i="1" s="1"/>
  <c r="F76" i="2"/>
  <c r="J76" i="2" s="1"/>
  <c r="L76" i="2" s="1"/>
  <c r="G75" i="2"/>
  <c r="G74" i="2"/>
  <c r="G73" i="2"/>
  <c r="F73" i="2"/>
  <c r="G72" i="2"/>
  <c r="G71" i="2"/>
  <c r="C9" i="1" s="1"/>
  <c r="F69" i="2"/>
  <c r="J69" i="2" s="1"/>
  <c r="L69" i="2" s="1"/>
  <c r="J61" i="2"/>
  <c r="L59" i="2"/>
  <c r="L57" i="2"/>
  <c r="L50" i="2"/>
  <c r="K50" i="2"/>
  <c r="J50" i="2"/>
  <c r="F49" i="2"/>
  <c r="J49" i="2" s="1"/>
  <c r="L49" i="2" s="1"/>
  <c r="F48" i="2"/>
  <c r="J48" i="2" s="1"/>
  <c r="L48" i="2" s="1"/>
  <c r="J43" i="2"/>
  <c r="J42" i="2"/>
  <c r="J41" i="2"/>
  <c r="J40" i="2"/>
  <c r="J39" i="2"/>
  <c r="J38" i="2"/>
  <c r="J37" i="2"/>
  <c r="J45" i="2" s="1"/>
  <c r="D7" i="1" s="1"/>
  <c r="J36" i="2"/>
  <c r="J32" i="2"/>
  <c r="J31" i="2"/>
  <c r="J30" i="2"/>
  <c r="J29" i="2"/>
  <c r="J28" i="2"/>
  <c r="J27" i="2"/>
  <c r="J26" i="2"/>
  <c r="J25" i="2"/>
  <c r="J24" i="2"/>
  <c r="J23" i="2"/>
  <c r="J34" i="2" s="1"/>
  <c r="D6" i="1" s="1"/>
  <c r="J19" i="2"/>
  <c r="J18" i="2"/>
  <c r="J17" i="2"/>
  <c r="J16" i="2"/>
  <c r="J15" i="2"/>
  <c r="J14" i="2"/>
  <c r="J21" i="2" s="1"/>
  <c r="D5" i="1" s="1"/>
  <c r="J12" i="2"/>
  <c r="D4" i="1" s="1"/>
  <c r="J20" i="1"/>
  <c r="B20" i="1"/>
  <c r="J13" i="1"/>
  <c r="I13" i="1"/>
  <c r="H13" i="1"/>
  <c r="C13" i="1"/>
  <c r="J12" i="1"/>
  <c r="I12" i="1"/>
  <c r="I11" i="1"/>
  <c r="C11" i="1"/>
  <c r="K10" i="1"/>
  <c r="J10" i="1"/>
  <c r="I10" i="1"/>
  <c r="I9" i="1"/>
  <c r="K8" i="1"/>
  <c r="J8" i="1"/>
  <c r="I8" i="1"/>
  <c r="C8" i="1"/>
  <c r="I7" i="1"/>
  <c r="C7" i="1"/>
  <c r="I6" i="1"/>
  <c r="C6" i="1"/>
  <c r="I5" i="1"/>
  <c r="C5" i="1"/>
  <c r="I4" i="1"/>
  <c r="C4" i="1"/>
  <c r="L86" i="2" l="1"/>
  <c r="E3" i="5"/>
  <c r="L66" i="2"/>
  <c r="E2" i="5"/>
  <c r="K101" i="2"/>
  <c r="E4" i="5"/>
  <c r="E20" i="1"/>
  <c r="M7" i="1"/>
  <c r="L80" i="2"/>
  <c r="K80" i="2"/>
  <c r="L99" i="2"/>
  <c r="K99" i="2"/>
  <c r="J85" i="2"/>
  <c r="L85" i="2" s="1"/>
  <c r="L124" i="2"/>
  <c r="M139" i="3"/>
  <c r="F74" i="2"/>
  <c r="J74" i="2" s="1"/>
  <c r="L82" i="2"/>
  <c r="K82" i="2"/>
  <c r="L94" i="2"/>
  <c r="K94" i="2"/>
  <c r="J73" i="2"/>
  <c r="L106" i="2"/>
  <c r="K106" i="2"/>
  <c r="F72" i="2"/>
  <c r="J72" i="2" s="1"/>
  <c r="M141" i="3"/>
  <c r="L129" i="2"/>
  <c r="K129" i="2"/>
  <c r="L65" i="2"/>
  <c r="K65" i="2"/>
  <c r="K108" i="2"/>
  <c r="L108" i="2" s="1"/>
  <c r="I20" i="1"/>
  <c r="L93" i="2"/>
  <c r="K110" i="2"/>
  <c r="L110" i="2" s="1"/>
  <c r="L100" i="2"/>
  <c r="K100" i="2"/>
  <c r="L127" i="2"/>
  <c r="L115" i="2"/>
  <c r="K115" i="2"/>
  <c r="E7" i="5"/>
  <c r="G7" i="5" s="1"/>
  <c r="L111" i="2"/>
  <c r="K111" i="2"/>
  <c r="L55" i="2"/>
  <c r="K55" i="2" s="1"/>
  <c r="L114" i="2"/>
  <c r="K114" i="2"/>
  <c r="K112" i="2"/>
  <c r="L112" i="2" s="1"/>
  <c r="K48" i="2"/>
  <c r="G116" i="2"/>
  <c r="F75" i="2"/>
  <c r="J75" i="2" s="1"/>
  <c r="L75" i="2" s="1"/>
  <c r="M119" i="3"/>
  <c r="J97" i="2"/>
  <c r="K97" i="2" s="1"/>
  <c r="L97" i="2" s="1"/>
  <c r="K20" i="1"/>
  <c r="K49" i="2"/>
  <c r="L89" i="2"/>
  <c r="K89" i="2"/>
  <c r="K196" i="3"/>
  <c r="F96" i="2" s="1"/>
  <c r="J96" i="2" s="1"/>
  <c r="K98" i="3"/>
  <c r="F57" i="2" s="1"/>
  <c r="J57" i="2" s="1"/>
  <c r="K57" i="2" s="1"/>
  <c r="K103" i="3"/>
  <c r="F58" i="2" s="1"/>
  <c r="J58" i="2" s="1"/>
  <c r="K107" i="3"/>
  <c r="M116" i="3"/>
  <c r="K160" i="3"/>
  <c r="F81" i="2" s="1"/>
  <c r="J81" i="2" s="1"/>
  <c r="K181" i="3"/>
  <c r="F95" i="2" s="1"/>
  <c r="J95" i="2" s="1"/>
  <c r="M186" i="3"/>
  <c r="K192" i="3"/>
  <c r="F102" i="2" s="1"/>
  <c r="J102" i="2" s="1"/>
  <c r="L102" i="2" s="1"/>
  <c r="K229" i="3"/>
  <c r="F109" i="2" s="1"/>
  <c r="J109" i="2" s="1"/>
  <c r="K239" i="3"/>
  <c r="F113" i="2" s="1"/>
  <c r="J113" i="2" s="1"/>
  <c r="K122" i="3"/>
  <c r="F67" i="2" s="1"/>
  <c r="J67" i="2" s="1"/>
  <c r="K166" i="3"/>
  <c r="F84" i="2" s="1"/>
  <c r="J84" i="2" s="1"/>
  <c r="L84" i="2" s="1"/>
  <c r="E1" i="29"/>
  <c r="E3" i="29" s="1"/>
  <c r="K90" i="3"/>
  <c r="F56" i="2" s="1"/>
  <c r="J56" i="2" s="1"/>
  <c r="K113" i="3"/>
  <c r="F71" i="2" s="1"/>
  <c r="K123" i="3"/>
  <c r="K132" i="3"/>
  <c r="F68" i="2" s="1"/>
  <c r="J68" i="2" s="1"/>
  <c r="K221" i="3"/>
  <c r="F119" i="2" s="1"/>
  <c r="J119" i="2" s="1"/>
  <c r="K264" i="3"/>
  <c r="K269" i="3"/>
  <c r="F125" i="2" s="1"/>
  <c r="J125" i="2" s="1"/>
  <c r="K96" i="3"/>
  <c r="F54" i="2" s="1"/>
  <c r="J54" i="2" s="1"/>
  <c r="K144" i="3"/>
  <c r="F70" i="2" s="1"/>
  <c r="J70" i="2" s="1"/>
  <c r="L70" i="2" s="1"/>
  <c r="K200" i="3"/>
  <c r="F98" i="2" s="1"/>
  <c r="J98" i="2" s="1"/>
  <c r="K74" i="2" l="1"/>
  <c r="L74" i="2"/>
  <c r="K125" i="2"/>
  <c r="K140" i="2" s="1"/>
  <c r="G13" i="1" s="1"/>
  <c r="L125" i="2"/>
  <c r="L119" i="2"/>
  <c r="K119" i="2"/>
  <c r="L68" i="2"/>
  <c r="K68" i="2"/>
  <c r="F3" i="5"/>
  <c r="D3" i="5" s="1"/>
  <c r="G3" i="5" s="1"/>
  <c r="L72" i="2"/>
  <c r="K72" i="2"/>
  <c r="K56" i="2"/>
  <c r="L56" i="2"/>
  <c r="J116" i="2"/>
  <c r="C12" i="1"/>
  <c r="C20" i="1" s="1"/>
  <c r="K95" i="2"/>
  <c r="L95" i="2"/>
  <c r="J104" i="2"/>
  <c r="D11" i="1" s="1"/>
  <c r="J63" i="2"/>
  <c r="D8" i="1" s="1"/>
  <c r="J140" i="2"/>
  <c r="D13" i="1" s="1"/>
  <c r="K58" i="2"/>
  <c r="F2" i="5" s="1"/>
  <c r="D2" i="5" s="1"/>
  <c r="L58" i="2"/>
  <c r="L81" i="2"/>
  <c r="L91" i="2" s="1"/>
  <c r="F10" i="1" s="1"/>
  <c r="L10" i="1" s="1"/>
  <c r="M10" i="1" s="1"/>
  <c r="K81" i="2"/>
  <c r="L71" i="2"/>
  <c r="J71" i="2"/>
  <c r="J78" i="2" s="1"/>
  <c r="D9" i="1" s="1"/>
  <c r="L73" i="2"/>
  <c r="K73" i="2"/>
  <c r="J91" i="2"/>
  <c r="D10" i="1" s="1"/>
  <c r="L140" i="2"/>
  <c r="F13" i="1" s="1"/>
  <c r="L13" i="1" s="1"/>
  <c r="M13" i="1" s="1"/>
  <c r="L67" i="2"/>
  <c r="K67" i="2"/>
  <c r="F5" i="5" s="1"/>
  <c r="D5" i="5" s="1"/>
  <c r="G5" i="5" s="1"/>
  <c r="K96" i="2"/>
  <c r="L96" i="2" s="1"/>
  <c r="K98" i="2"/>
  <c r="L98" i="2" s="1"/>
  <c r="L113" i="2"/>
  <c r="K113" i="2"/>
  <c r="K91" i="2"/>
  <c r="G10" i="1" s="1"/>
  <c r="L54" i="2"/>
  <c r="K54" i="2" s="1"/>
  <c r="F6" i="5" s="1"/>
  <c r="D6" i="5" s="1"/>
  <c r="G6" i="5" s="1"/>
  <c r="L109" i="2"/>
  <c r="K109" i="2"/>
  <c r="J122" i="2"/>
  <c r="D12" i="1" s="1"/>
  <c r="L78" i="2" l="1"/>
  <c r="L9" i="1" s="1"/>
  <c r="M9" i="1" s="1"/>
  <c r="K78" i="2"/>
  <c r="G9" i="1" s="1"/>
  <c r="K63" i="2"/>
  <c r="G8" i="1" s="1"/>
  <c r="K104" i="2"/>
  <c r="G11" i="1" s="1"/>
  <c r="L63" i="2"/>
  <c r="F8" i="1" s="1"/>
  <c r="L8" i="1" s="1"/>
  <c r="G2" i="5"/>
  <c r="L104" i="2"/>
  <c r="F11" i="1" s="1"/>
  <c r="L11" i="1" s="1"/>
  <c r="M11" i="1" s="1"/>
  <c r="D20" i="1"/>
  <c r="K116" i="2"/>
  <c r="F4" i="5" s="1"/>
  <c r="D4" i="5" s="1"/>
  <c r="G4" i="5" s="1"/>
  <c r="L116" i="2"/>
  <c r="L122" i="2" s="1"/>
  <c r="F12" i="1" s="1"/>
  <c r="L12" i="1" s="1"/>
  <c r="M12" i="1" s="1"/>
  <c r="K122" i="2" l="1"/>
  <c r="G12" i="1" s="1"/>
  <c r="G20" i="1" s="1"/>
  <c r="F20" i="1"/>
  <c r="L20" i="1"/>
  <c r="M8" i="1"/>
  <c r="M20" i="1" s="1"/>
  <c r="G10" i="5"/>
  <c r="D10" i="5"/>
</calcChain>
</file>

<file path=xl/sharedStrings.xml><?xml version="1.0" encoding="utf-8"?>
<sst xmlns="http://schemas.openxmlformats.org/spreadsheetml/2006/main" count="4081" uniqueCount="978">
  <si>
    <t>Month</t>
  </si>
  <si>
    <t>Cars Sold</t>
  </si>
  <si>
    <t>Total Revenue</t>
  </si>
  <si>
    <t>Total Gross Profit</t>
  </si>
  <si>
    <t>Company Expenses</t>
  </si>
  <si>
    <t>Total SA Gross Profit</t>
  </si>
  <si>
    <t>Investor Net Profit</t>
  </si>
  <si>
    <t>Investor Expense</t>
  </si>
  <si>
    <t>Company Fuel Costs</t>
  </si>
  <si>
    <t>Other Money In</t>
  </si>
  <si>
    <t>Other Money Out</t>
  </si>
  <si>
    <t>Net Profit Exc Investor</t>
  </si>
  <si>
    <t>Net Exc Investor</t>
  </si>
  <si>
    <t>Notes</t>
  </si>
  <si>
    <t>No Investors</t>
  </si>
  <si>
    <t>Moved to New Unit</t>
  </si>
  <si>
    <t>New Office Container Purchased + Upgraded Unit</t>
  </si>
  <si>
    <t>Obtained Motor Trade Insurance</t>
  </si>
  <si>
    <t>10</t>
  </si>
  <si>
    <t>Upgraded AutoTrader Package To List More Vehicles</t>
  </si>
  <si>
    <t>Accepted Mostly PX Vehicles. Profit Expected In Upcoming Months</t>
  </si>
  <si>
    <t>16</t>
  </si>
  <si>
    <t>7</t>
  </si>
  <si>
    <t>TOTAL</t>
  </si>
  <si>
    <t>Date Aquired</t>
  </si>
  <si>
    <t>Number Plate reference</t>
  </si>
  <si>
    <t>Make &amp; Model</t>
  </si>
  <si>
    <t>SA/Investor Name</t>
  </si>
  <si>
    <t>Total Cost</t>
  </si>
  <si>
    <t>Sold</t>
  </si>
  <si>
    <t>Part Ex</t>
  </si>
  <si>
    <t>SA/Investor Profit Share</t>
  </si>
  <si>
    <t>Total Profit</t>
  </si>
  <si>
    <t>Investor Profit</t>
  </si>
  <si>
    <t>SA Profit</t>
  </si>
  <si>
    <t>Date Listed</t>
  </si>
  <si>
    <t>Date Sold</t>
  </si>
  <si>
    <t>Days to Sell</t>
  </si>
  <si>
    <t>Platfrom</t>
  </si>
  <si>
    <t>Invoice Number</t>
  </si>
  <si>
    <t>Customer Name</t>
  </si>
  <si>
    <t>Contact info</t>
  </si>
  <si>
    <t>Warranty</t>
  </si>
  <si>
    <t>AutoGuard Number</t>
  </si>
  <si>
    <t>YD62URJ</t>
  </si>
  <si>
    <t>Suzuki SX4</t>
  </si>
  <si>
    <t>AK09RLY</t>
  </si>
  <si>
    <t>Golf S</t>
  </si>
  <si>
    <t>GP57PNX</t>
  </si>
  <si>
    <t>BMW 320i</t>
  </si>
  <si>
    <t>GJ07OXN</t>
  </si>
  <si>
    <t>Golf GTI</t>
  </si>
  <si>
    <t>CJ17YNK</t>
  </si>
  <si>
    <t xml:space="preserve">Astra Estate </t>
  </si>
  <si>
    <t>EA61BJU</t>
  </si>
  <si>
    <t>Citroen C1</t>
  </si>
  <si>
    <t>EO20LVT</t>
  </si>
  <si>
    <t>Toyota Aygo</t>
  </si>
  <si>
    <t>LS60HBC</t>
  </si>
  <si>
    <t>Golf Plus</t>
  </si>
  <si>
    <t>WR15UXL</t>
  </si>
  <si>
    <t>Nissan Pulsar</t>
  </si>
  <si>
    <t>DL68YFF</t>
  </si>
  <si>
    <t>Astra Turbo SRI</t>
  </si>
  <si>
    <t>KA07DWN</t>
  </si>
  <si>
    <t>Seat Ibiza</t>
  </si>
  <si>
    <t>FL11LXD</t>
  </si>
  <si>
    <t>Peugeot 207</t>
  </si>
  <si>
    <t>-</t>
  </si>
  <si>
    <t>EX59VLN</t>
  </si>
  <si>
    <t xml:space="preserve">Ford Fiesta </t>
  </si>
  <si>
    <t>YP59MOF</t>
  </si>
  <si>
    <t>Audi A3 Cabriolet</t>
  </si>
  <si>
    <t>LN06ZWP</t>
  </si>
  <si>
    <t xml:space="preserve">Ford Focus </t>
  </si>
  <si>
    <t>KF15DGE</t>
  </si>
  <si>
    <t>BMW 520d</t>
  </si>
  <si>
    <t>LD12RHX</t>
  </si>
  <si>
    <t>Ford Fiesta</t>
  </si>
  <si>
    <t>1st September 2025</t>
  </si>
  <si>
    <t>MK11TNN</t>
  </si>
  <si>
    <t>Skoda Fabia VRS</t>
  </si>
  <si>
    <t>8th September 2025</t>
  </si>
  <si>
    <t>EA56UEC</t>
  </si>
  <si>
    <t>12th September 2025</t>
  </si>
  <si>
    <t>SY09VRT</t>
  </si>
  <si>
    <t>Volkswagen Polo</t>
  </si>
  <si>
    <t>19th September 2025</t>
  </si>
  <si>
    <t>AE13WEK</t>
  </si>
  <si>
    <t>SY13KJZ</t>
  </si>
  <si>
    <t>Volkswagen Up</t>
  </si>
  <si>
    <t>LV61VLG</t>
  </si>
  <si>
    <t>Kia Venga</t>
  </si>
  <si>
    <t>YT58ERZ</t>
  </si>
  <si>
    <t>Smart</t>
  </si>
  <si>
    <t>YF07NMK</t>
  </si>
  <si>
    <t>Pegeout 207</t>
  </si>
  <si>
    <t>EO06 TKF</t>
  </si>
  <si>
    <t>Ford Focus</t>
  </si>
  <si>
    <t>MT07 NYY</t>
  </si>
  <si>
    <t xml:space="preserve">Honda CR-V </t>
  </si>
  <si>
    <t>MA58 KUW</t>
  </si>
  <si>
    <t>Honda Jazz</t>
  </si>
  <si>
    <t>MJ62 JKN</t>
  </si>
  <si>
    <t>BD66AOL</t>
  </si>
  <si>
    <t>Ford C-Max</t>
  </si>
  <si>
    <t>Leonardo</t>
  </si>
  <si>
    <t>SA</t>
  </si>
  <si>
    <t>MM17 XOZ</t>
  </si>
  <si>
    <t xml:space="preserve">Nissan Leaf </t>
  </si>
  <si>
    <t>Jeff</t>
  </si>
  <si>
    <t>60/40</t>
  </si>
  <si>
    <t>DV62 OYH</t>
  </si>
  <si>
    <t>James</t>
  </si>
  <si>
    <t>50/50</t>
  </si>
  <si>
    <t>MJ15 EFS</t>
  </si>
  <si>
    <t>KU11 GRZ</t>
  </si>
  <si>
    <t>Golf HG57</t>
  </si>
  <si>
    <t>HY10 RRO</t>
  </si>
  <si>
    <t>Nissan Note</t>
  </si>
  <si>
    <t>KE65XBC</t>
  </si>
  <si>
    <t>DP64 CXV</t>
  </si>
  <si>
    <t>Fiat 500</t>
  </si>
  <si>
    <t>PK64 LRL</t>
  </si>
  <si>
    <t>Nissan Juke</t>
  </si>
  <si>
    <t>Daniel</t>
  </si>
  <si>
    <t>MK59 FUV</t>
  </si>
  <si>
    <t>ET15 BWO</t>
  </si>
  <si>
    <t>Audi A5</t>
  </si>
  <si>
    <t>Joseph</t>
  </si>
  <si>
    <t xml:space="preserve">EJ11 MYV </t>
  </si>
  <si>
    <t>Audi A1</t>
  </si>
  <si>
    <t>YT63 ENJ</t>
  </si>
  <si>
    <t xml:space="preserve">YB15 GRU </t>
  </si>
  <si>
    <t>Audi A4</t>
  </si>
  <si>
    <t>Henry</t>
  </si>
  <si>
    <t xml:space="preserve">Audi A3 </t>
  </si>
  <si>
    <t>NL55 YXG</t>
  </si>
  <si>
    <t>Nissan Micra</t>
  </si>
  <si>
    <t>EA65NDL</t>
  </si>
  <si>
    <t>Cargurus</t>
  </si>
  <si>
    <t>LR15 EUT</t>
  </si>
  <si>
    <t xml:space="preserve">Golf Match </t>
  </si>
  <si>
    <t>Autotrader</t>
  </si>
  <si>
    <t>CX14PVO</t>
  </si>
  <si>
    <t>NU65 EDH</t>
  </si>
  <si>
    <t>Mazda 6</t>
  </si>
  <si>
    <t>HG08 EPZ</t>
  </si>
  <si>
    <t>Audi A3</t>
  </si>
  <si>
    <t>LM64 FWU</t>
  </si>
  <si>
    <t>Fiat 500 Conv</t>
  </si>
  <si>
    <t>Walk-in</t>
  </si>
  <si>
    <t>LN11 ZC</t>
  </si>
  <si>
    <t>Peugeot 107</t>
  </si>
  <si>
    <t>20/12/2025</t>
  </si>
  <si>
    <t>CV65VMZ</t>
  </si>
  <si>
    <t>Polo GT</t>
  </si>
  <si>
    <t>JFZ1824</t>
  </si>
  <si>
    <t>Polo Auto</t>
  </si>
  <si>
    <t>SX14KKH</t>
  </si>
  <si>
    <t>27/12/2025</t>
  </si>
  <si>
    <t>WD63NXU</t>
  </si>
  <si>
    <t>Nissan Navara</t>
  </si>
  <si>
    <t>30/12/2025</t>
  </si>
  <si>
    <t>HG57 MDE</t>
  </si>
  <si>
    <t>VX15 DYU</t>
  </si>
  <si>
    <t>Ford Kuga</t>
  </si>
  <si>
    <t>SV63 KKO</t>
  </si>
  <si>
    <t>BMW 5 Series</t>
  </si>
  <si>
    <t>SP08 KLX</t>
  </si>
  <si>
    <t>Audi S5</t>
  </si>
  <si>
    <t>WM63 XCE</t>
  </si>
  <si>
    <t>EJ14UZC</t>
  </si>
  <si>
    <t>BMW 520D</t>
  </si>
  <si>
    <t>SR16 HKT</t>
  </si>
  <si>
    <t>Smart Premium</t>
  </si>
  <si>
    <t>MF12 NKN</t>
  </si>
  <si>
    <t>KM17 YTV</t>
  </si>
  <si>
    <t>Nissan Qashqai</t>
  </si>
  <si>
    <t>EU14 NOW</t>
  </si>
  <si>
    <t>Peugeot 2008</t>
  </si>
  <si>
    <t>CE65 MJJ</t>
  </si>
  <si>
    <t>Polo BlueGT</t>
  </si>
  <si>
    <t>GY14BZC</t>
  </si>
  <si>
    <t>Octavia VRS</t>
  </si>
  <si>
    <t>KU13 FBF</t>
  </si>
  <si>
    <t>Honda CRV</t>
  </si>
  <si>
    <t>RV62 UMD</t>
  </si>
  <si>
    <t>70/30</t>
  </si>
  <si>
    <t>MF15 OPJ</t>
  </si>
  <si>
    <t>Peugeot 3008</t>
  </si>
  <si>
    <t>EN63 TKA</t>
  </si>
  <si>
    <t>65/35</t>
  </si>
  <si>
    <t>YY65 CAU</t>
  </si>
  <si>
    <t>V Corsa</t>
  </si>
  <si>
    <t>YB65 XPP</t>
  </si>
  <si>
    <t>OY61 UTH</t>
  </si>
  <si>
    <t xml:space="preserve">Jaguar XF </t>
  </si>
  <si>
    <t>CY64 ACO</t>
  </si>
  <si>
    <t>Polo</t>
  </si>
  <si>
    <t>LS13 UKA</t>
  </si>
  <si>
    <t>Vauxhall Mokka</t>
  </si>
  <si>
    <t>28/02/26</t>
  </si>
  <si>
    <t>LG61 RTV</t>
  </si>
  <si>
    <t>03/03/2026</t>
  </si>
  <si>
    <t>PG66 HRE</t>
  </si>
  <si>
    <t>BMW 518D</t>
  </si>
  <si>
    <t>04/03/2026</t>
  </si>
  <si>
    <t>EJ14 PTX</t>
  </si>
  <si>
    <t>Mazda CX5</t>
  </si>
  <si>
    <t>07/03/2026</t>
  </si>
  <si>
    <t>FV14 MYL</t>
  </si>
  <si>
    <t>CLA</t>
  </si>
  <si>
    <t>08/03/2026</t>
  </si>
  <si>
    <t>20/02/22026</t>
  </si>
  <si>
    <t>DN14 WEP</t>
  </si>
  <si>
    <t>A6</t>
  </si>
  <si>
    <t>13/03/2026</t>
  </si>
  <si>
    <t>BJ64 OSE</t>
  </si>
  <si>
    <t>C Class</t>
  </si>
  <si>
    <t>16/03/2026</t>
  </si>
  <si>
    <t>WJ62UVS</t>
  </si>
  <si>
    <t>18/03/2026</t>
  </si>
  <si>
    <t>LJ13 UAC</t>
  </si>
  <si>
    <t>21/03/2026</t>
  </si>
  <si>
    <t>DN16 YXF</t>
  </si>
  <si>
    <t>Mitsubishi</t>
  </si>
  <si>
    <t>23/03/2026</t>
  </si>
  <si>
    <t>VK62 THV</t>
  </si>
  <si>
    <t>Polo GTI</t>
  </si>
  <si>
    <t>RX67 WPN</t>
  </si>
  <si>
    <t>BMW 330E</t>
  </si>
  <si>
    <t>SA14 SYO</t>
  </si>
  <si>
    <t>520D</t>
  </si>
  <si>
    <t>26/03/2026</t>
  </si>
  <si>
    <t>LK15 TJU</t>
  </si>
  <si>
    <t>DG68 DYY</t>
  </si>
  <si>
    <t>Ford Mondeo</t>
  </si>
  <si>
    <t>MF14 TUH</t>
  </si>
  <si>
    <t>VW Polo</t>
  </si>
  <si>
    <t>01/04/2026</t>
  </si>
  <si>
    <t>VX16 XJU</t>
  </si>
  <si>
    <t>Golf R</t>
  </si>
  <si>
    <t>02/04/2026</t>
  </si>
  <si>
    <t>RJ14 YZN</t>
  </si>
  <si>
    <t>VW Golf</t>
  </si>
  <si>
    <t>03/04/2026</t>
  </si>
  <si>
    <t>WU66 MJX</t>
  </si>
  <si>
    <t>CLA 200</t>
  </si>
  <si>
    <t>FN62 HKO</t>
  </si>
  <si>
    <t>05/04/2026</t>
  </si>
  <si>
    <t>KU67 PWY</t>
  </si>
  <si>
    <t>CLA 220</t>
  </si>
  <si>
    <t>06/04/2026</t>
  </si>
  <si>
    <t>GN66 YWZ</t>
  </si>
  <si>
    <t xml:space="preserve">Skoda Fabia  </t>
  </si>
  <si>
    <t>07/04/2027</t>
  </si>
  <si>
    <t>Plate Number</t>
  </si>
  <si>
    <t>Investor/SA</t>
  </si>
  <si>
    <t>Source</t>
  </si>
  <si>
    <t>PX Value</t>
  </si>
  <si>
    <t>Price</t>
  </si>
  <si>
    <t>Reconditioning costs</t>
  </si>
  <si>
    <t>Profit</t>
  </si>
  <si>
    <t>Status</t>
  </si>
  <si>
    <t>Copart</t>
  </si>
  <si>
    <t>Need to put on copart</t>
  </si>
  <si>
    <t>FB</t>
  </si>
  <si>
    <t>Charlie fixing fuel pump</t>
  </si>
  <si>
    <t>On Sale</t>
  </si>
  <si>
    <t>PX Swap</t>
  </si>
  <si>
    <t>Private</t>
  </si>
  <si>
    <t>Need To Change Boot Lock</t>
  </si>
  <si>
    <t>Being prepared</t>
  </si>
  <si>
    <t>Need to get tyres sorted + Clean, Photos and List</t>
  </si>
  <si>
    <t>Audi A3 Conv</t>
  </si>
  <si>
    <t>Need to wash and install third break lights</t>
  </si>
  <si>
    <t>Recovering when focus is done</t>
  </si>
  <si>
    <t>Body Shop</t>
  </si>
  <si>
    <t>Carwow</t>
  </si>
  <si>
    <t>KP53AUR</t>
  </si>
  <si>
    <t>Mercedes A Class</t>
  </si>
  <si>
    <t>need to fix and list</t>
  </si>
  <si>
    <t xml:space="preserve">Waiting for land lord to return </t>
  </si>
  <si>
    <t>6th september 2025</t>
  </si>
  <si>
    <t>Facebook</t>
  </si>
  <si>
    <t>16th September 2025</t>
  </si>
  <si>
    <t>15th September 2025</t>
  </si>
  <si>
    <t>CarWow</t>
  </si>
  <si>
    <t>22nd September 2025</t>
  </si>
  <si>
    <t>24th September 2025</t>
  </si>
  <si>
    <t>28th September 2025</t>
  </si>
  <si>
    <t>29th September 2025</t>
  </si>
  <si>
    <t>Yard</t>
  </si>
  <si>
    <t>DP64CXV</t>
  </si>
  <si>
    <t>Polo - HG57 MDE</t>
  </si>
  <si>
    <t xml:space="preserve">Facebook </t>
  </si>
  <si>
    <t>Motorway</t>
  </si>
  <si>
    <t>JFZ 1824</t>
  </si>
  <si>
    <t>`</t>
  </si>
  <si>
    <t>Peugot 107</t>
  </si>
  <si>
    <t>Mazda 5</t>
  </si>
  <si>
    <t>SX14 KKH</t>
  </si>
  <si>
    <t>CV65 VMZ</t>
  </si>
  <si>
    <t>OV61 WKH</t>
  </si>
  <si>
    <t>Audi A7</t>
  </si>
  <si>
    <t>YB68 XYT</t>
  </si>
  <si>
    <t>Suzuki Swift</t>
  </si>
  <si>
    <t>PE65 LXZ</t>
  </si>
  <si>
    <t>BMW 120D</t>
  </si>
  <si>
    <t>YB61 MHX</t>
  </si>
  <si>
    <t>BMW 328i</t>
  </si>
  <si>
    <t>Adam</t>
  </si>
  <si>
    <t>PX</t>
  </si>
  <si>
    <t>S88 RDF</t>
  </si>
  <si>
    <t xml:space="preserve">BMW 318D </t>
  </si>
  <si>
    <t>LS66 SVA</t>
  </si>
  <si>
    <t>BK61 SWZ</t>
  </si>
  <si>
    <t>WA13 XCV</t>
  </si>
  <si>
    <t>PL18 KLM</t>
  </si>
  <si>
    <t>VW Passat</t>
  </si>
  <si>
    <t>A5</t>
  </si>
  <si>
    <t xml:space="preserve">Daniel </t>
  </si>
  <si>
    <t>HF64 PLZ</t>
  </si>
  <si>
    <t>C200</t>
  </si>
  <si>
    <t>KM62 XFN</t>
  </si>
  <si>
    <t>Q5</t>
  </si>
  <si>
    <t>YK66 DWU</t>
  </si>
  <si>
    <t>CF15 OWA</t>
  </si>
  <si>
    <t>BG63 VYM</t>
  </si>
  <si>
    <t>FY67 WDE</t>
  </si>
  <si>
    <t>Mazda 3</t>
  </si>
  <si>
    <t>AY17 YWX</t>
  </si>
  <si>
    <t>Mazda CX3</t>
  </si>
  <si>
    <t>SE66 OFZ</t>
  </si>
  <si>
    <t>C220D</t>
  </si>
  <si>
    <t>A250E</t>
  </si>
  <si>
    <t>EJ68 WVM</t>
  </si>
  <si>
    <t>Kuga</t>
  </si>
  <si>
    <t>GX65 YJL</t>
  </si>
  <si>
    <t>Smart Fortwo</t>
  </si>
  <si>
    <t>Need to give to Charlie for coolant leak and schedule recalibration</t>
  </si>
  <si>
    <t xml:space="preserve">Given to Qashqai Customer as Courtesy Car - Thursday will be done </t>
  </si>
  <si>
    <t xml:space="preserve">gave to Yama on 2nd april for Timing Chain replacement | Call Customer </t>
  </si>
  <si>
    <t>Need to pickup from BCA</t>
  </si>
  <si>
    <t>Listed</t>
  </si>
  <si>
    <t>ordered parts awaiting fit</t>
  </si>
  <si>
    <t>Go Euro Car parts Philips PY24W 12V 24W Black Base Amber Bulb - Single Bulb https://www.eurocarparts.com/p/philips-py24w-12v-24w-black-base-amber-bulb-single-bulb-481772380</t>
  </si>
  <si>
    <t>Listed - Needs Front Tyres</t>
  </si>
  <si>
    <t>Electrician said done on 9th. call to schedule pickup</t>
  </si>
  <si>
    <t>listed - oil leak fix &amp; order left mirror cap Tuesday charlie open</t>
  </si>
  <si>
    <t>LY18 ZDV</t>
  </si>
  <si>
    <t>A200d</t>
  </si>
  <si>
    <t>Grill ordered, need to install &amp; fix front grill &amp; front bumper</t>
  </si>
  <si>
    <t>Listed Rear driver door Trim &amp; Kuga Plate</t>
  </si>
  <si>
    <t>YR16 XCB</t>
  </si>
  <si>
    <t>CLA Estate</t>
  </si>
  <si>
    <t>Listed - Needs MOT &amp; Drive belt Tuesday</t>
  </si>
  <si>
    <t>VE16 TNO</t>
  </si>
  <si>
    <t>Audi A6</t>
  </si>
  <si>
    <t>Listed- Call Waheed for body work &amp; DVLA mot &amp; needs MOT</t>
  </si>
  <si>
    <t>DL15 WDA</t>
  </si>
  <si>
    <t>A6 Allroad</t>
  </si>
  <si>
    <t>ready to list</t>
  </si>
  <si>
    <t>KM64 XCX</t>
  </si>
  <si>
    <t>A3 E-Tron</t>
  </si>
  <si>
    <t>engine light sort out</t>
  </si>
  <si>
    <t>YY62 XJW</t>
  </si>
  <si>
    <t>Audi a6</t>
  </si>
  <si>
    <t>NG64 EOH</t>
  </si>
  <si>
    <t>520D Lux</t>
  </si>
  <si>
    <t>RJ65 VVN</t>
  </si>
  <si>
    <t>520D Msport</t>
  </si>
  <si>
    <t>ML20 YZW</t>
  </si>
  <si>
    <t>Kia Sportage</t>
  </si>
  <si>
    <t>Date Won</t>
  </si>
  <si>
    <t>Location</t>
  </si>
  <si>
    <t>Post Code</t>
  </si>
  <si>
    <t>How Far?</t>
  </si>
  <si>
    <t>Collection Date</t>
  </si>
  <si>
    <t>Number</t>
  </si>
  <si>
    <t>Additional notes</t>
  </si>
  <si>
    <t>AF65LAA</t>
  </si>
  <si>
    <t>Mercedes CLA250</t>
  </si>
  <si>
    <t>Iverness</t>
  </si>
  <si>
    <t>IV362PN</t>
  </si>
  <si>
    <t>10 hours. 😐</t>
  </si>
  <si>
    <t>TBC</t>
  </si>
  <si>
    <t>SA17 ZGJ</t>
  </si>
  <si>
    <t>Volkswagen Passat GTE</t>
  </si>
  <si>
    <t>Edinburgh</t>
  </si>
  <si>
    <t>EH91UQ</t>
  </si>
  <si>
    <t xml:space="preserve"> Near GTI</t>
  </si>
  <si>
    <t>MJ69 CGU</t>
  </si>
  <si>
    <t xml:space="preserve">Tesla Model 3 Standard Range </t>
  </si>
  <si>
    <t>Manchester</t>
  </si>
  <si>
    <t>Awaiting confirmation</t>
  </si>
  <si>
    <t>ST63YUG</t>
  </si>
  <si>
    <t>Volkswagen Golf GTI</t>
  </si>
  <si>
    <t>EH222EL</t>
  </si>
  <si>
    <t>Near GTE</t>
  </si>
  <si>
    <t>LO65 TSU</t>
  </si>
  <si>
    <t xml:space="preserve">Mercedes-Benz C220d </t>
  </si>
  <si>
    <t>Enfield</t>
  </si>
  <si>
    <t>EN8 8NQ</t>
  </si>
  <si>
    <t>RK13 DOR</t>
  </si>
  <si>
    <t>Audi TTS</t>
  </si>
  <si>
    <t>Telford Birmingham</t>
  </si>
  <si>
    <t>TF28RW</t>
  </si>
  <si>
    <t>Grab after Tesla Pickup</t>
  </si>
  <si>
    <t>,</t>
  </si>
  <si>
    <t>Investors</t>
  </si>
  <si>
    <t>Initial Balance</t>
  </si>
  <si>
    <t>Capital Returned</t>
  </si>
  <si>
    <t>Total Balance</t>
  </si>
  <si>
    <t>Purchased</t>
  </si>
  <si>
    <t>Total Profit (since Nov-25)</t>
  </si>
  <si>
    <t>Available</t>
  </si>
  <si>
    <t>Anthony</t>
  </si>
  <si>
    <t>Total Capital</t>
  </si>
  <si>
    <t>Total Available</t>
  </si>
  <si>
    <t>Seller Name</t>
  </si>
  <si>
    <t>Sale Price</t>
  </si>
  <si>
    <t>Breakdown</t>
  </si>
  <si>
    <t>Smart Car</t>
  </si>
  <si>
    <t>Nasir</t>
  </si>
  <si>
    <t>52.45 warranty, 40 MOT, 8 wash, 17.95 insurance, 15 carwash</t>
  </si>
  <si>
    <t>SW58FTK</t>
  </si>
  <si>
    <t>Golf</t>
  </si>
  <si>
    <t>HAVERN</t>
  </si>
  <si>
    <t>20 Wash, 92 Warranty, 31.72 v62</t>
  </si>
  <si>
    <t>SR68 UTW</t>
  </si>
  <si>
    <t>Golf-E</t>
  </si>
  <si>
    <t>Saleh</t>
  </si>
  <si>
    <t>8.55 part, 8 wash, 6.49 Tow cover, warranty 69.95, v62 £25, £195 tax</t>
  </si>
  <si>
    <t xml:space="preserve">FX63VBV Golf </t>
  </si>
  <si>
    <t>MS66 SUL</t>
  </si>
  <si>
    <t>Date</t>
  </si>
  <si>
    <t>Reason</t>
  </si>
  <si>
    <t>Amount</t>
  </si>
  <si>
    <t>Reg</t>
  </si>
  <si>
    <t>Jatin Driver</t>
  </si>
  <si>
    <t>Smart Premuim SR16 HKT</t>
  </si>
  <si>
    <t>Detailer</t>
  </si>
  <si>
    <t>Detailer Fiat LK15, Quashkai, Octovia, Smart</t>
  </si>
  <si>
    <t>BMW 518d, Polo MF14, BMW 120d, Peugeot 2008</t>
  </si>
  <si>
    <t>Adam Driver</t>
  </si>
  <si>
    <t>Peugeot 2008, Audi A1 Drop off, BMW 328i</t>
  </si>
  <si>
    <t>Expense Incurred</t>
  </si>
  <si>
    <t>Kassim</t>
  </si>
  <si>
    <t>Train</t>
  </si>
  <si>
    <t>Uber</t>
  </si>
  <si>
    <t>TFL</t>
  </si>
  <si>
    <t>MF15 OPJ + EJ14 PTX</t>
  </si>
  <si>
    <t>YY65 CAU, S88 RDF,  LS66 SVA</t>
  </si>
  <si>
    <t>Mocha, S88 RDF, PE65 LXZ</t>
  </si>
  <si>
    <t>WA13XCV</t>
  </si>
  <si>
    <t>BJ64 OSE, A6</t>
  </si>
  <si>
    <t>VX16 XJU, LJ13 UAC</t>
  </si>
  <si>
    <t>Flight</t>
  </si>
  <si>
    <t>Pick-Up</t>
  </si>
  <si>
    <t>Kasim</t>
  </si>
  <si>
    <t>KU67 PWY &amp; FY67 WDE</t>
  </si>
  <si>
    <t>Bus</t>
  </si>
  <si>
    <t>Insurance</t>
  </si>
  <si>
    <t>Driver</t>
  </si>
  <si>
    <t>Category</t>
  </si>
  <si>
    <t>From</t>
  </si>
  <si>
    <t xml:space="preserve">Amount </t>
  </si>
  <si>
    <t>Payment Method</t>
  </si>
  <si>
    <t>Paid By</t>
  </si>
  <si>
    <t>Variable Cost</t>
  </si>
  <si>
    <t>Autotrader hpi</t>
  </si>
  <si>
    <t>Debit Card</t>
  </si>
  <si>
    <t>Business</t>
  </si>
  <si>
    <t>RE62VVC</t>
  </si>
  <si>
    <t>Fixed Overhead</t>
  </si>
  <si>
    <t>Mussey</t>
  </si>
  <si>
    <t>Car Huntr</t>
  </si>
  <si>
    <t>COS</t>
  </si>
  <si>
    <t>HPI Checks</t>
  </si>
  <si>
    <t>Parts</t>
  </si>
  <si>
    <t>Polish liquid</t>
  </si>
  <si>
    <t>Partslink</t>
  </si>
  <si>
    <t>SO13EXH</t>
  </si>
  <si>
    <t>BK10JXB</t>
  </si>
  <si>
    <t>AV57MFN</t>
  </si>
  <si>
    <t>Total Expense</t>
  </si>
  <si>
    <t>Bank Transfer</t>
  </si>
  <si>
    <t>Poppy</t>
  </si>
  <si>
    <t>Not paid back - Funpack Recovery</t>
  </si>
  <si>
    <t>AutoTrader HPI</t>
  </si>
  <si>
    <t>Not paid back - Not purchased</t>
  </si>
  <si>
    <t xml:space="preserve">Nasir </t>
  </si>
  <si>
    <t>Not paid back - Insurance</t>
  </si>
  <si>
    <t>Fine</t>
  </si>
  <si>
    <t>BMW</t>
  </si>
  <si>
    <t>Amazon</t>
  </si>
  <si>
    <t>Hoover Payment</t>
  </si>
  <si>
    <t>Transport</t>
  </si>
  <si>
    <t>Petrol Station</t>
  </si>
  <si>
    <t>Tape Audi Bumper</t>
  </si>
  <si>
    <t>4L Water Audi Coolant</t>
  </si>
  <si>
    <t>Food/Drink</t>
  </si>
  <si>
    <t xml:space="preserve">Londis - Mo Monster </t>
  </si>
  <si>
    <t>BK12LTU</t>
  </si>
  <si>
    <t>#</t>
  </si>
  <si>
    <t>Halfords</t>
  </si>
  <si>
    <t>Car Cover</t>
  </si>
  <si>
    <t>Virtual Office + Mail</t>
  </si>
  <si>
    <t>Barclays Business Account</t>
  </si>
  <si>
    <t>Spidersnet Website</t>
  </si>
  <si>
    <t>Van Hire Fuel</t>
  </si>
  <si>
    <t>Post Office</t>
  </si>
  <si>
    <t>Barclays Letter</t>
  </si>
  <si>
    <t>Euro Car Parts Coolant A5</t>
  </si>
  <si>
    <t>Transmission Oil A5</t>
  </si>
  <si>
    <t>Headlight Bracket A5</t>
  </si>
  <si>
    <t>Tiktok</t>
  </si>
  <si>
    <t>Polarised Filter</t>
  </si>
  <si>
    <t>Not purchased</t>
  </si>
  <si>
    <t>Parking Permit</t>
  </si>
  <si>
    <t>A5 Permit Transfer</t>
  </si>
  <si>
    <t>BCA</t>
  </si>
  <si>
    <t>Account Signup</t>
  </si>
  <si>
    <t>Car hunter</t>
  </si>
  <si>
    <t>Operating Cost</t>
  </si>
  <si>
    <t>Shell</t>
  </si>
  <si>
    <t>Water</t>
  </si>
  <si>
    <t>Charger</t>
  </si>
  <si>
    <t>Coffee</t>
  </si>
  <si>
    <t>1st</t>
  </si>
  <si>
    <t>Asda</t>
  </si>
  <si>
    <t>Towels + Cookies</t>
  </si>
  <si>
    <t>DVLA</t>
  </si>
  <si>
    <t>Tax FL11LXD</t>
  </si>
  <si>
    <t>2nd</t>
  </si>
  <si>
    <t>Chat GPT</t>
  </si>
  <si>
    <t>1 Month Subscription</t>
  </si>
  <si>
    <t>3rd</t>
  </si>
  <si>
    <t>eBay</t>
  </si>
  <si>
    <t>Paper Floormats</t>
  </si>
  <si>
    <t>TAX LS15HLO</t>
  </si>
  <si>
    <t>SpydersNet</t>
  </si>
  <si>
    <t>Website</t>
  </si>
  <si>
    <t>4th</t>
  </si>
  <si>
    <t>Auto Trader</t>
  </si>
  <si>
    <t>Ibiza</t>
  </si>
  <si>
    <t>HPI Check</t>
  </si>
  <si>
    <t>Fiat 500 Abdullah</t>
  </si>
  <si>
    <t>5th</t>
  </si>
  <si>
    <t>Barclays</t>
  </si>
  <si>
    <t>Nasir Deposit + Monthly Charge</t>
  </si>
  <si>
    <t>13th</t>
  </si>
  <si>
    <t>VW Centre Wheel cap polo</t>
  </si>
  <si>
    <t>15th</t>
  </si>
  <si>
    <t>Admiral</t>
  </si>
  <si>
    <t>Insurance A5</t>
  </si>
  <si>
    <t>16th</t>
  </si>
  <si>
    <t>18th</t>
  </si>
  <si>
    <t>Euro Car Parts</t>
  </si>
  <si>
    <t>Battery booster</t>
  </si>
  <si>
    <t>19th</t>
  </si>
  <si>
    <t>Tyre shine</t>
  </si>
  <si>
    <t>24th</t>
  </si>
  <si>
    <t>Carwash</t>
  </si>
  <si>
    <t>26th</t>
  </si>
  <si>
    <t>Polish</t>
  </si>
  <si>
    <t>29th</t>
  </si>
  <si>
    <t>LJ Work Wear</t>
  </si>
  <si>
    <t>Company Work Outfits</t>
  </si>
  <si>
    <t>storage box</t>
  </si>
  <si>
    <t>Account Fee</t>
  </si>
  <si>
    <t>Admin</t>
  </si>
  <si>
    <t>ChatGPT</t>
  </si>
  <si>
    <t>Review Cards</t>
  </si>
  <si>
    <t>Spidersnet</t>
  </si>
  <si>
    <t>Wickes</t>
  </si>
  <si>
    <t>Cement</t>
  </si>
  <si>
    <t>B&amp;Q</t>
  </si>
  <si>
    <t>Selco Builders</t>
  </si>
  <si>
    <t>Plaster Board</t>
  </si>
  <si>
    <t>SA Merch</t>
  </si>
  <si>
    <t>Charges</t>
  </si>
  <si>
    <t>Ads Package</t>
  </si>
  <si>
    <t>Rent</t>
  </si>
  <si>
    <t>Unit</t>
  </si>
  <si>
    <t>Business Car</t>
  </si>
  <si>
    <t>Cash</t>
  </si>
  <si>
    <t>Audi Tyre</t>
  </si>
  <si>
    <t>Office</t>
  </si>
  <si>
    <t>Toolstation</t>
  </si>
  <si>
    <t>Blu Tack</t>
  </si>
  <si>
    <t>Ziba Caffe</t>
  </si>
  <si>
    <t>Business Planning</t>
  </si>
  <si>
    <t>Wall Paper</t>
  </si>
  <si>
    <t>Audi</t>
  </si>
  <si>
    <t>Key Box</t>
  </si>
  <si>
    <t>TikTok Shop</t>
  </si>
  <si>
    <t>Car Phone Charger</t>
  </si>
  <si>
    <t>Business Cards</t>
  </si>
  <si>
    <t>Adhesive Spray</t>
  </si>
  <si>
    <t>Floor Matt</t>
  </si>
  <si>
    <t>Heater</t>
  </si>
  <si>
    <t>Table</t>
  </si>
  <si>
    <t>Volvo</t>
  </si>
  <si>
    <t>Fiesta SG14FUJ</t>
  </si>
  <si>
    <t>Fuel Station</t>
  </si>
  <si>
    <t>Waitrose</t>
  </si>
  <si>
    <t>Chairs</t>
  </si>
  <si>
    <t>Food</t>
  </si>
  <si>
    <t>d's kitchen</t>
  </si>
  <si>
    <t>Chicken Shop</t>
  </si>
  <si>
    <t>Recovery for Corsa - Vehicle Sale Cancelled MF61 ECN Engine issues</t>
  </si>
  <si>
    <t>Pizza</t>
  </si>
  <si>
    <t>Direct Debit</t>
  </si>
  <si>
    <t>Audi Road Tax</t>
  </si>
  <si>
    <t>Spyders Net</t>
  </si>
  <si>
    <t>Mealdeal for driver &amp; Poppy</t>
  </si>
  <si>
    <t>Paid by Poppy</t>
  </si>
  <si>
    <t>Car Guru</t>
  </si>
  <si>
    <t xml:space="preserve">Accidental </t>
  </si>
  <si>
    <t>Repayed by Poppy - Hostinger</t>
  </si>
  <si>
    <t>Lunch - Joseph, Mussey, Poppy, Ben</t>
  </si>
  <si>
    <t>Audi Insurance. Leaf Included - to be refunded following month</t>
  </si>
  <si>
    <t>Supplies</t>
  </si>
  <si>
    <t>Car Collection</t>
  </si>
  <si>
    <t>Poppy To confirm</t>
  </si>
  <si>
    <t>Sim</t>
  </si>
  <si>
    <t>Poppy Sim Bill</t>
  </si>
  <si>
    <t>Tyre &amp; Shine</t>
  </si>
  <si>
    <t>Kuga, Golf, Fiat</t>
  </si>
  <si>
    <t>TP Link Wifi Internet</t>
  </si>
  <si>
    <t>Smarty Data plan Internet</t>
  </si>
  <si>
    <t xml:space="preserve">Bank </t>
  </si>
  <si>
    <t>Withdrawal</t>
  </si>
  <si>
    <t>Monthly Charge</t>
  </si>
  <si>
    <t>Rayban Meta Glasses</t>
  </si>
  <si>
    <t>Council</t>
  </si>
  <si>
    <t>transport</t>
  </si>
  <si>
    <t>Wage</t>
  </si>
  <si>
    <t>Omar Wage</t>
  </si>
  <si>
    <t>Container</t>
  </si>
  <si>
    <t>Easy Jet Flight - Poppy, Kasim (missed)</t>
  </si>
  <si>
    <t>Driver - Kasim Moving Vehicles</t>
  </si>
  <si>
    <t>Cable for lights</t>
  </si>
  <si>
    <t>Breakfeast</t>
  </si>
  <si>
    <t>Insurance Smart</t>
  </si>
  <si>
    <t>Ebay Tags</t>
  </si>
  <si>
    <t>DJI Mic</t>
  </si>
  <si>
    <t>Unit lights</t>
  </si>
  <si>
    <t>Inpound fee - Smart</t>
  </si>
  <si>
    <t>Coffee Pods</t>
  </si>
  <si>
    <t>Lights installation</t>
  </si>
  <si>
    <t>Coffee Cups</t>
  </si>
  <si>
    <t>Wash</t>
  </si>
  <si>
    <t>Joseph Fine</t>
  </si>
  <si>
    <t>Deposit - Office</t>
  </si>
  <si>
    <t>Coat hanger</t>
  </si>
  <si>
    <t>Bin</t>
  </si>
  <si>
    <t>Admiral Insurance</t>
  </si>
  <si>
    <t>Autotrader Package</t>
  </si>
  <si>
    <t>Omar Driver Paid Train and will payback with free day work</t>
  </si>
  <si>
    <t>Mic adapter</t>
  </si>
  <si>
    <t>v62 Golf SW58FTK</t>
  </si>
  <si>
    <t>Drawers for the office</t>
  </si>
  <si>
    <t>Motor trade insurance</t>
  </si>
  <si>
    <t>Lyca number Poppy</t>
  </si>
  <si>
    <t>WD-40</t>
  </si>
  <si>
    <t>Letters for trade plates and v62</t>
  </si>
  <si>
    <t>Fine Fiesta</t>
  </si>
  <si>
    <t>Meta Glasses Klarna</t>
  </si>
  <si>
    <t>Trade plates letters</t>
  </si>
  <si>
    <t>Trade plates</t>
  </si>
  <si>
    <t>Asda - Paper</t>
  </si>
  <si>
    <t xml:space="preserve">BMW GT Tax </t>
  </si>
  <si>
    <t>S5 Key Recovery</t>
  </si>
  <si>
    <t>A5 Shocks</t>
  </si>
  <si>
    <t>Flgiht to Scotland</t>
  </si>
  <si>
    <t>Accomadation in Scotland</t>
  </si>
  <si>
    <t>Air Audi A5</t>
  </si>
  <si>
    <t>Booking.com Scotland GT and Smart</t>
  </si>
  <si>
    <t>Asda Poppy</t>
  </si>
  <si>
    <t>Smart Train, + £10 for earlier train</t>
  </si>
  <si>
    <t>Train GT to Smart car</t>
  </si>
  <si>
    <t>Motor Trade Insurance</t>
  </si>
  <si>
    <t>Audi Tyres</t>
  </si>
  <si>
    <t>Accountant submitting accounts</t>
  </si>
  <si>
    <t>Double side tape</t>
  </si>
  <si>
    <t>Tax</t>
  </si>
  <si>
    <t>Miscellaneous Cost</t>
  </si>
  <si>
    <t>Company Coffee</t>
  </si>
  <si>
    <t>Gatwick Car Drop Off</t>
  </si>
  <si>
    <t>A5 Wash</t>
  </si>
  <si>
    <t>x3 Flights to Scotland</t>
  </si>
  <si>
    <t>Miscellaneous Cost Scotland</t>
  </si>
  <si>
    <t>Driver food LS66 SVA</t>
  </si>
  <si>
    <t>cash</t>
  </si>
  <si>
    <t>James Gatwick - Scotland</t>
  </si>
  <si>
    <t>Khalid Sweets - Appreciation Gesture</t>
  </si>
  <si>
    <t>Insurance Audi</t>
  </si>
  <si>
    <t>Trade Insurance</t>
  </si>
  <si>
    <t>Ebay Expense</t>
  </si>
  <si>
    <t>DJI Mic Adaptor</t>
  </si>
  <si>
    <t xml:space="preserve">Paper Floor Mats </t>
  </si>
  <si>
    <t xml:space="preserve">Easy Jet Flight </t>
  </si>
  <si>
    <t>Driver Snack</t>
  </si>
  <si>
    <t>Lyca</t>
  </si>
  <si>
    <t>Smarty</t>
  </si>
  <si>
    <t>Ebay SA Plate</t>
  </si>
  <si>
    <t>OV61WKH return cost</t>
  </si>
  <si>
    <t>Poppy Powerbank</t>
  </si>
  <si>
    <t>Parts Link</t>
  </si>
  <si>
    <t>Audi A5 windows</t>
  </si>
  <si>
    <t>Audi Tax</t>
  </si>
  <si>
    <t>Barclays Fee</t>
  </si>
  <si>
    <t>Food detailer</t>
  </si>
  <si>
    <t>Audi rear glass</t>
  </si>
  <si>
    <t>Fine  OY61</t>
  </si>
  <si>
    <t>Adam Wage</t>
  </si>
  <si>
    <t>PRIME</t>
  </si>
  <si>
    <t>Isam call out</t>
  </si>
  <si>
    <t>Claude Ai</t>
  </si>
  <si>
    <t>Lyca (spread over 4 months)</t>
  </si>
  <si>
    <t>RENT</t>
  </si>
  <si>
    <t>car guru</t>
  </si>
  <si>
    <t>Car</t>
  </si>
  <si>
    <t>Column1</t>
  </si>
  <si>
    <t>Fiesta</t>
  </si>
  <si>
    <t>Total Fuel</t>
  </si>
  <si>
    <t>Van Hire</t>
  </si>
  <si>
    <t>To be returned</t>
  </si>
  <si>
    <t>Deposit</t>
  </si>
  <si>
    <t>Card</t>
  </si>
  <si>
    <t>Depo not refunded</t>
  </si>
  <si>
    <t>Delivery Fee</t>
  </si>
  <si>
    <t>Delivery Fee Audi A5, ET15 BWO</t>
  </si>
  <si>
    <t>Total Money In</t>
  </si>
  <si>
    <t>Transfer</t>
  </si>
  <si>
    <t>Impound Fee</t>
  </si>
  <si>
    <t>SOR Sale</t>
  </si>
  <si>
    <t>Depo not refunded for Audi A1</t>
  </si>
  <si>
    <t>E-Golf sale</t>
  </si>
  <si>
    <t xml:space="preserve">EN63 TKA </t>
  </si>
  <si>
    <t>Admin Fee</t>
  </si>
  <si>
    <t>Admin Fee+Delivery £151</t>
  </si>
  <si>
    <t>EBAY Return</t>
  </si>
  <si>
    <t>OV61WKH</t>
  </si>
  <si>
    <t>Car return</t>
  </si>
  <si>
    <t>DP14 WEP</t>
  </si>
  <si>
    <t>Admin Fee &amp; Delivery</t>
  </si>
  <si>
    <t xml:space="preserve"> </t>
  </si>
  <si>
    <t>Cost Incurred on</t>
  </si>
  <si>
    <t>Nissan Leaf Car Wash</t>
  </si>
  <si>
    <t>Fuel</t>
  </si>
  <si>
    <t>Lights</t>
  </si>
  <si>
    <t xml:space="preserve">BMW </t>
  </si>
  <si>
    <t>Alloys</t>
  </si>
  <si>
    <t>Rent + Deposit</t>
  </si>
  <si>
    <t>Fiat 500, LM64</t>
  </si>
  <si>
    <t>MOT</t>
  </si>
  <si>
    <t>Printer</t>
  </si>
  <si>
    <t>Drawers</t>
  </si>
  <si>
    <t>HG57</t>
  </si>
  <si>
    <t>bODYWORK + Spark Plugs</t>
  </si>
  <si>
    <t>Polo MJ15</t>
  </si>
  <si>
    <t>Mechanic  Polo</t>
  </si>
  <si>
    <t>BMW 120D Tyre</t>
  </si>
  <si>
    <t>MOT BMW 120D</t>
  </si>
  <si>
    <t>MF15 FUH</t>
  </si>
  <si>
    <t>Electrician</t>
  </si>
  <si>
    <t>Bodywork Outlander</t>
  </si>
  <si>
    <t>EJ14</t>
  </si>
  <si>
    <t>BMW Car wash</t>
  </si>
  <si>
    <t xml:space="preserve">Bodywork BMW </t>
  </si>
  <si>
    <t>Bodywork Skodia VRS</t>
  </si>
  <si>
    <t>JR Alloys BMW</t>
  </si>
  <si>
    <t>Bodywork</t>
  </si>
  <si>
    <t>WJ62 UVS</t>
  </si>
  <si>
    <t>Steering wheel - Mocha</t>
  </si>
  <si>
    <t xml:space="preserve">Rent   </t>
  </si>
  <si>
    <t>MS66UL, MK14 XVX, BG63VYM</t>
  </si>
  <si>
    <t>Alloy refurb</t>
  </si>
  <si>
    <t>Money taken out by SA CASH</t>
  </si>
  <si>
    <t>£250 Poppy, £250 Mussey from Nissan Mirca</t>
  </si>
  <si>
    <t>Total Money Out</t>
  </si>
  <si>
    <t>Director Loan Repayment</t>
  </si>
  <si>
    <t>Item</t>
  </si>
  <si>
    <t>Sold For</t>
  </si>
  <si>
    <t>Fees</t>
  </si>
  <si>
    <t>Profit / Loss</t>
  </si>
  <si>
    <t>fuel</t>
  </si>
  <si>
    <t>Toll</t>
  </si>
  <si>
    <t>TINTS</t>
  </si>
  <si>
    <t>Ferry</t>
  </si>
  <si>
    <t>toll</t>
  </si>
  <si>
    <t>UBER</t>
  </si>
  <si>
    <t>FUEL</t>
  </si>
  <si>
    <t>Air</t>
  </si>
  <si>
    <t>wash</t>
  </si>
  <si>
    <t>Coolant leak</t>
  </si>
  <si>
    <t>Alloy</t>
  </si>
  <si>
    <t>Badge</t>
  </si>
  <si>
    <t>Seat</t>
  </si>
  <si>
    <t>Mirror</t>
  </si>
  <si>
    <t>Indicator</t>
  </si>
  <si>
    <t>Key Battery</t>
  </si>
  <si>
    <t>warranty</t>
  </si>
  <si>
    <t>Fuek</t>
  </si>
  <si>
    <t xml:space="preserve">Price </t>
  </si>
  <si>
    <t>Charlie</t>
  </si>
  <si>
    <t>Headlight fix</t>
  </si>
  <si>
    <t>Light</t>
  </si>
  <si>
    <t>Centre Vent</t>
  </si>
  <si>
    <t>Oil</t>
  </si>
  <si>
    <t xml:space="preserve">Service </t>
  </si>
  <si>
    <t>Rear Light</t>
  </si>
  <si>
    <t>Wiper</t>
  </si>
  <si>
    <t>Sun visoe</t>
  </si>
  <si>
    <t>cig port</t>
  </si>
  <si>
    <t>SEAT REPAIR</t>
  </si>
  <si>
    <t>ULEZ</t>
  </si>
  <si>
    <t>Boot latch</t>
  </si>
  <si>
    <t>tyres</t>
  </si>
  <si>
    <t>Seat repair</t>
  </si>
  <si>
    <t>Windscreen</t>
  </si>
  <si>
    <t>Boot fix</t>
  </si>
  <si>
    <t xml:space="preserve">Roof </t>
  </si>
  <si>
    <t>Roof handle</t>
  </si>
  <si>
    <t>Oil leak</t>
  </si>
  <si>
    <t>OSE Centre console</t>
  </si>
  <si>
    <t>Tyres</t>
  </si>
  <si>
    <t>Map SD</t>
  </si>
  <si>
    <t>Tyre</t>
  </si>
  <si>
    <t>Headlight</t>
  </si>
  <si>
    <t>Grill</t>
  </si>
  <si>
    <t>Carplay</t>
  </si>
  <si>
    <t>mirror switch</t>
  </si>
  <si>
    <t>window button</t>
  </si>
  <si>
    <t>Badges</t>
  </si>
  <si>
    <t xml:space="preserve">Driver </t>
  </si>
  <si>
    <t>Razak</t>
  </si>
  <si>
    <t xml:space="preserve">MOT </t>
  </si>
  <si>
    <t>Battery</t>
  </si>
  <si>
    <t>wASH</t>
  </si>
  <si>
    <t>Oil Cap</t>
  </si>
  <si>
    <t>charlie</t>
  </si>
  <si>
    <t>Spare typre</t>
  </si>
  <si>
    <t>Comback</t>
  </si>
  <si>
    <t xml:space="preserve">Tyres </t>
  </si>
  <si>
    <t>Door handle</t>
  </si>
  <si>
    <t>Buttons</t>
  </si>
  <si>
    <t>Steering wheel cover</t>
  </si>
  <si>
    <t>Qashqai Recovery</t>
  </si>
  <si>
    <t>Car Price</t>
  </si>
  <si>
    <t>Rasak</t>
  </si>
  <si>
    <t>Steering wheel</t>
  </si>
  <si>
    <t>Investor Payout</t>
  </si>
  <si>
    <t>To be paid back</t>
  </si>
  <si>
    <t>Parking button</t>
  </si>
  <si>
    <t>Deep Wash</t>
  </si>
  <si>
    <t>Parking Break</t>
  </si>
  <si>
    <t>Tyre (3)</t>
  </si>
  <si>
    <t xml:space="preserve">Wash </t>
  </si>
  <si>
    <t>Driver Mirror</t>
  </si>
  <si>
    <t>Door trim</t>
  </si>
  <si>
    <t>Alloy caps</t>
  </si>
  <si>
    <t>cig cover</t>
  </si>
  <si>
    <t>Rear vent</t>
  </si>
  <si>
    <t xml:space="preserve">Brake fluid </t>
  </si>
  <si>
    <t>Brake service</t>
  </si>
  <si>
    <t>Brake Pump</t>
  </si>
  <si>
    <t>Front bumper trim</t>
  </si>
  <si>
    <t>bodywork</t>
  </si>
  <si>
    <t>fuse box &amp; relay</t>
  </si>
  <si>
    <t>diagnosis</t>
  </si>
  <si>
    <t>Recovery</t>
  </si>
  <si>
    <t>Gearbox</t>
  </si>
  <si>
    <t>Passanger handle</t>
  </si>
  <si>
    <t>cluster</t>
  </si>
  <si>
    <t>Jatin</t>
  </si>
  <si>
    <t xml:space="preserve">Fuel </t>
  </si>
  <si>
    <t>Coding</t>
  </si>
  <si>
    <t>razak</t>
  </si>
  <si>
    <t>Radar</t>
  </si>
  <si>
    <t>Delivery</t>
  </si>
  <si>
    <t>sum</t>
  </si>
  <si>
    <t>Mot</t>
  </si>
  <si>
    <t>Oil filter</t>
  </si>
  <si>
    <t>Radio</t>
  </si>
  <si>
    <t>Antenna</t>
  </si>
  <si>
    <t>Tape</t>
  </si>
  <si>
    <t>Note</t>
  </si>
  <si>
    <t>Delivery + Admin</t>
  </si>
  <si>
    <t xml:space="preserve">Insurance </t>
  </si>
  <si>
    <t xml:space="preserve">SA Total </t>
  </si>
  <si>
    <t>Comeback</t>
  </si>
  <si>
    <t>Flight To Scotland</t>
  </si>
  <si>
    <t>Toll road</t>
  </si>
  <si>
    <t>Car price</t>
  </si>
  <si>
    <t>Part Ex Value</t>
  </si>
  <si>
    <t>Audi A4 Hamzi YB65 GRU Paid out - Profit factors SA paying Hamzi out of Pocket</t>
  </si>
  <si>
    <t>oil</t>
  </si>
  <si>
    <t>Service</t>
  </si>
  <si>
    <t>ADMIN</t>
  </si>
  <si>
    <t>driver</t>
  </si>
  <si>
    <t>train</t>
  </si>
  <si>
    <t>uber</t>
  </si>
  <si>
    <t>Tyre Pump</t>
  </si>
  <si>
    <t>ulez</t>
  </si>
  <si>
    <t xml:space="preserve">Train </t>
  </si>
  <si>
    <t>Recovery of Vehicle</t>
  </si>
  <si>
    <t>fee</t>
  </si>
  <si>
    <t>Aux belt</t>
  </si>
  <si>
    <t>Belt change</t>
  </si>
  <si>
    <t>Driver drop off</t>
  </si>
  <si>
    <t>tires</t>
  </si>
  <si>
    <t>kassim</t>
  </si>
  <si>
    <t xml:space="preserve">wash </t>
  </si>
  <si>
    <t>Plate</t>
  </si>
  <si>
    <t>Travel</t>
  </si>
  <si>
    <t xml:space="preserve">Uber </t>
  </si>
  <si>
    <t>Total Cost (£)</t>
  </si>
  <si>
    <t>Sold For (£)</t>
  </si>
  <si>
    <t>Profit / Loss (£)</t>
  </si>
  <si>
    <t>Body work</t>
  </si>
  <si>
    <t>gearbox service</t>
  </si>
  <si>
    <t xml:space="preserve">bATTERY </t>
  </si>
  <si>
    <t>cHANGE BATTERY</t>
  </si>
  <si>
    <t>windscreen</t>
  </si>
  <si>
    <t xml:space="preserve">BEN </t>
  </si>
  <si>
    <t>Door Handle</t>
  </si>
  <si>
    <t>service and leak</t>
  </si>
  <si>
    <t>Parking module</t>
  </si>
  <si>
    <t>Parking module TSP</t>
  </si>
  <si>
    <t>Refunded</t>
  </si>
  <si>
    <t xml:space="preserve">Delivery </t>
  </si>
  <si>
    <t>Hpi Check</t>
  </si>
  <si>
    <t>Brakes</t>
  </si>
  <si>
    <t>PX value</t>
  </si>
  <si>
    <t>Part ex</t>
  </si>
  <si>
    <t>Spark Plugs</t>
  </si>
  <si>
    <t>Ebay</t>
  </si>
  <si>
    <t>Handle</t>
  </si>
  <si>
    <t xml:space="preserve">Autotrader </t>
  </si>
  <si>
    <t>Wages</t>
  </si>
  <si>
    <t>Seat Repair</t>
  </si>
  <si>
    <t>£18 to be refunded</t>
  </si>
  <si>
    <t>Part EX</t>
  </si>
  <si>
    <t xml:space="preserve">Mocha </t>
  </si>
  <si>
    <t>Value</t>
  </si>
  <si>
    <t>Brought</t>
  </si>
  <si>
    <t>Cupholders</t>
  </si>
  <si>
    <t>FULL PAID James</t>
  </si>
  <si>
    <t>Sunvisor Clip</t>
  </si>
  <si>
    <t>Investor James</t>
  </si>
  <si>
    <t>Petrol</t>
  </si>
  <si>
    <t>Body Work</t>
  </si>
  <si>
    <t>Reflectors</t>
  </si>
  <si>
    <t>Tyre Sensors</t>
  </si>
  <si>
    <t>insurance</t>
  </si>
  <si>
    <t>mot</t>
  </si>
  <si>
    <t>Spare tyre</t>
  </si>
  <si>
    <t>Fuel Pump</t>
  </si>
  <si>
    <t>Redcorn</t>
  </si>
  <si>
    <t>Mechanic</t>
  </si>
  <si>
    <t>Fuel Filter</t>
  </si>
  <si>
    <t>Ebrahim</t>
  </si>
  <si>
    <t>Tfl</t>
  </si>
  <si>
    <t>Super glue</t>
  </si>
  <si>
    <t>jatin</t>
  </si>
  <si>
    <t>Impound</t>
  </si>
  <si>
    <t>Exhaust</t>
  </si>
  <si>
    <t>Injector Cleaner</t>
  </si>
  <si>
    <t>AutoTrader</t>
  </si>
  <si>
    <t>Diagnosis Fee</t>
  </si>
  <si>
    <t>Daniella</t>
  </si>
  <si>
    <t>Peggie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</si>
</sst>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[$£-809]#,##0.00"/>
    <numFmt numFmtId="166" formatCode="[$-F800]dddd\,\ mmmm\ dd\,\ yyyy"/>
    <numFmt numFmtId="167" formatCode="&quot;£&quot;#,##0.00"/>
    <numFmt numFmtId="168" formatCode="\£#,##0.00"/>
    <numFmt numFmtId="169" formatCode="_-[$£-809]* #,##0.00_-;\-[$£-809]* #,##0.00_-;_-[$£-809]* &quot;-&quot;??_-;_-@_-"/>
    <numFmt numFmtId="170" formatCode="mm/dd/yy;@"/>
    <numFmt numFmtId="171" formatCode="m/d;@"/>
    <numFmt numFmtId="172" formatCode="[$-409]d\-mmm\-yyyy;@"/>
    <numFmt numFmtId="173" formatCode="_(* #,##0.0_);_(* \(#,##0.0\);_(* &quot;-&quot;?_);_(@_)"/>
  </numFmts>
  <fonts count="2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sz val="11"/>
      <color theme="1"/>
      <name val="Calibri  "/>
    </font>
    <font>
      <b/>
      <sz val="14"/>
      <name val="Calibri  "/>
    </font>
    <font>
      <sz val="14"/>
      <name val="Calibri  "/>
    </font>
    <font>
      <sz val="14"/>
      <color theme="1"/>
      <name val="Calibri  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242424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7">
    <xf numFmtId="0" fontId="0" fillId="0" borderId="0"/>
    <xf numFmtId="44" fontId="2" fillId="0" borderId="0"/>
    <xf numFmtId="0" fontId="9" fillId="0" borderId="0"/>
    <xf numFmtId="44" fontId="2" fillId="0" borderId="0"/>
    <xf numFmtId="0" fontId="2" fillId="0" borderId="0"/>
    <xf numFmtId="0" fontId="17" fillId="0" borderId="0"/>
    <xf numFmtId="0" fontId="17" fillId="0" borderId="0"/>
  </cellStyleXfs>
  <cellXfs count="437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wrapText="1"/>
    </xf>
    <xf numFmtId="14" fontId="3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4" fontId="3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64" fontId="6" fillId="0" borderId="1" xfId="0" applyNumberFormat="1" applyFont="1" applyBorder="1" applyAlignment="1">
      <alignment wrapText="1"/>
    </xf>
    <xf numFmtId="0" fontId="3" fillId="0" borderId="7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0" fillId="2" borderId="1" xfId="0" applyNumberFormat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0" fontId="0" fillId="4" borderId="1" xfId="0" applyFill="1" applyBorder="1" applyAlignment="1">
      <alignment horizontal="left" wrapText="1"/>
    </xf>
    <xf numFmtId="164" fontId="0" fillId="4" borderId="1" xfId="0" applyNumberFormat="1" applyFill="1" applyBorder="1" applyAlignment="1">
      <alignment wrapText="1"/>
    </xf>
    <xf numFmtId="164" fontId="3" fillId="4" borderId="1" xfId="0" applyNumberFormat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 wrapText="1"/>
    </xf>
    <xf numFmtId="49" fontId="3" fillId="5" borderId="1" xfId="0" applyNumberFormat="1" applyFont="1" applyFill="1" applyBorder="1" applyAlignment="1">
      <alignment wrapText="1"/>
    </xf>
    <xf numFmtId="14" fontId="0" fillId="5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164" fontId="0" fillId="5" borderId="1" xfId="0" applyNumberFormat="1" applyFill="1" applyBorder="1" applyAlignment="1">
      <alignment wrapText="1"/>
    </xf>
    <xf numFmtId="165" fontId="0" fillId="0" borderId="7" xfId="0" applyNumberFormat="1" applyBorder="1" applyAlignment="1">
      <alignment horizontal="left" wrapText="1"/>
    </xf>
    <xf numFmtId="164" fontId="0" fillId="0" borderId="7" xfId="0" applyNumberForma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wrapText="1"/>
    </xf>
    <xf numFmtId="164" fontId="3" fillId="5" borderId="1" xfId="0" applyNumberFormat="1" applyFont="1" applyFill="1" applyBorder="1" applyAlignment="1">
      <alignment wrapText="1"/>
    </xf>
    <xf numFmtId="0" fontId="3" fillId="5" borderId="7" xfId="0" applyFont="1" applyFill="1" applyBorder="1" applyAlignment="1">
      <alignment wrapText="1"/>
    </xf>
    <xf numFmtId="0" fontId="3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64" fontId="3" fillId="6" borderId="3" xfId="1" applyNumberFormat="1" applyFont="1" applyFill="1" applyBorder="1" applyAlignment="1">
      <alignment horizontal="center" vertical="center"/>
    </xf>
    <xf numFmtId="164" fontId="3" fillId="6" borderId="9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3" fillId="6" borderId="11" xfId="0" applyFont="1" applyFill="1" applyBorder="1" applyAlignment="1">
      <alignment wrapText="1"/>
    </xf>
    <xf numFmtId="14" fontId="3" fillId="6" borderId="3" xfId="0" applyNumberFormat="1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5" borderId="1" xfId="0" applyFont="1" applyFill="1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164" fontId="8" fillId="0" borderId="1" xfId="0" applyNumberFormat="1" applyFont="1" applyBorder="1" applyAlignment="1">
      <alignment wrapText="1"/>
    </xf>
    <xf numFmtId="164" fontId="0" fillId="5" borderId="1" xfId="0" applyNumberFormat="1" applyFill="1" applyBorder="1" applyAlignment="1">
      <alignment horizontal="center" wrapText="1"/>
    </xf>
    <xf numFmtId="165" fontId="0" fillId="0" borderId="0" xfId="0" applyNumberFormat="1"/>
    <xf numFmtId="165" fontId="0" fillId="0" borderId="2" xfId="0" applyNumberFormat="1" applyBorder="1" applyAlignment="1">
      <alignment horizontal="left" wrapText="1"/>
    </xf>
    <xf numFmtId="0" fontId="3" fillId="0" borderId="9" xfId="0" applyFont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164" fontId="0" fillId="0" borderId="0" xfId="0" applyNumberFormat="1"/>
    <xf numFmtId="166" fontId="0" fillId="0" borderId="1" xfId="0" applyNumberFormat="1" applyBorder="1" applyAlignment="1">
      <alignment horizontal="left" wrapText="1"/>
    </xf>
    <xf numFmtId="166" fontId="0" fillId="5" borderId="1" xfId="0" applyNumberFormat="1" applyFill="1" applyBorder="1" applyAlignment="1">
      <alignment horizontal="left" wrapText="1"/>
    </xf>
    <xf numFmtId="0" fontId="0" fillId="9" borderId="7" xfId="0" applyFill="1" applyBorder="1" applyAlignment="1">
      <alignment wrapText="1"/>
    </xf>
    <xf numFmtId="165" fontId="0" fillId="9" borderId="7" xfId="0" applyNumberFormat="1" applyFill="1" applyBorder="1" applyAlignment="1">
      <alignment wrapText="1"/>
    </xf>
    <xf numFmtId="165" fontId="0" fillId="3" borderId="7" xfId="0" applyNumberFormat="1" applyFill="1" applyBorder="1" applyAlignment="1">
      <alignment wrapText="1"/>
    </xf>
    <xf numFmtId="165" fontId="0" fillId="8" borderId="7" xfId="0" applyNumberFormat="1" applyFill="1" applyBorder="1" applyAlignment="1">
      <alignment wrapText="1"/>
    </xf>
    <xf numFmtId="165" fontId="0" fillId="4" borderId="7" xfId="0" applyNumberFormat="1" applyFill="1" applyBorder="1" applyAlignment="1">
      <alignment wrapText="1"/>
    </xf>
    <xf numFmtId="165" fontId="0" fillId="2" borderId="7" xfId="0" applyNumberFormat="1" applyFill="1" applyBorder="1" applyAlignment="1">
      <alignment wrapText="1"/>
    </xf>
    <xf numFmtId="165" fontId="0" fillId="5" borderId="7" xfId="0" applyNumberFormat="1" applyFill="1" applyBorder="1" applyAlignment="1">
      <alignment wrapText="1"/>
    </xf>
    <xf numFmtId="164" fontId="0" fillId="9" borderId="7" xfId="0" applyNumberFormat="1" applyFill="1" applyBorder="1" applyAlignment="1">
      <alignment wrapText="1"/>
    </xf>
    <xf numFmtId="164" fontId="0" fillId="3" borderId="1" xfId="0" applyNumberFormat="1" applyFill="1" applyBorder="1" applyAlignment="1">
      <alignment horizontal="right" wrapText="1"/>
    </xf>
    <xf numFmtId="164" fontId="0" fillId="3" borderId="1" xfId="0" applyNumberFormat="1" applyFill="1" applyBorder="1" applyAlignment="1">
      <alignment wrapText="1"/>
    </xf>
    <xf numFmtId="0" fontId="12" fillId="0" borderId="14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3" xfId="2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right"/>
    </xf>
    <xf numFmtId="164" fontId="14" fillId="0" borderId="0" xfId="0" applyNumberFormat="1" applyFont="1"/>
    <xf numFmtId="17" fontId="7" fillId="0" borderId="1" xfId="0" applyNumberFormat="1" applyFont="1" applyBorder="1" applyAlignment="1">
      <alignment horizontal="left" wrapText="1"/>
    </xf>
    <xf numFmtId="17" fontId="7" fillId="0" borderId="8" xfId="0" applyNumberFormat="1" applyFont="1" applyBorder="1" applyAlignment="1">
      <alignment horizontal="left" wrapText="1"/>
    </xf>
    <xf numFmtId="164" fontId="7" fillId="0" borderId="1" xfId="0" applyNumberFormat="1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7" borderId="1" xfId="0" applyFont="1" applyFill="1" applyBorder="1" applyAlignment="1">
      <alignment wrapText="1"/>
    </xf>
    <xf numFmtId="164" fontId="7" fillId="7" borderId="1" xfId="0" applyNumberFormat="1" applyFont="1" applyFill="1" applyBorder="1" applyAlignment="1">
      <alignment wrapText="1"/>
    </xf>
    <xf numFmtId="0" fontId="7" fillId="5" borderId="8" xfId="0" applyFont="1" applyFill="1" applyBorder="1" applyAlignment="1">
      <alignment wrapText="1"/>
    </xf>
    <xf numFmtId="166" fontId="7" fillId="5" borderId="1" xfId="0" applyNumberFormat="1" applyFont="1" applyFill="1" applyBorder="1" applyAlignment="1">
      <alignment wrapText="1"/>
    </xf>
    <xf numFmtId="0" fontId="3" fillId="5" borderId="1" xfId="0" applyFont="1" applyFill="1" applyBorder="1" applyAlignment="1">
      <alignment horizontal="left" wrapText="1"/>
    </xf>
    <xf numFmtId="0" fontId="4" fillId="0" borderId="0" xfId="4" applyFont="1" applyAlignment="1">
      <alignment horizontal="center"/>
    </xf>
    <xf numFmtId="165" fontId="4" fillId="0" borderId="0" xfId="4" applyNumberFormat="1" applyFont="1" applyAlignment="1">
      <alignment horizontal="center"/>
    </xf>
    <xf numFmtId="0" fontId="4" fillId="0" borderId="0" xfId="4" applyFont="1" applyAlignment="1">
      <alignment horizontal="center" vertical="center" wrapText="1"/>
    </xf>
    <xf numFmtId="167" fontId="4" fillId="0" borderId="0" xfId="4" applyNumberFormat="1" applyFont="1" applyAlignment="1">
      <alignment horizontal="center" vertical="center" wrapText="1"/>
    </xf>
    <xf numFmtId="0" fontId="2" fillId="0" borderId="0" xfId="4"/>
    <xf numFmtId="0" fontId="2" fillId="0" borderId="0" xfId="4" applyAlignment="1">
      <alignment horizontal="center"/>
    </xf>
    <xf numFmtId="165" fontId="2" fillId="0" borderId="0" xfId="4" applyNumberFormat="1" applyAlignment="1">
      <alignment horizontal="center"/>
    </xf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8" fontId="4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166" fontId="0" fillId="0" borderId="1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7" fontId="7" fillId="3" borderId="8" xfId="0" applyNumberFormat="1" applyFont="1" applyFill="1" applyBorder="1" applyAlignment="1">
      <alignment horizontal="left" wrapText="1"/>
    </xf>
    <xf numFmtId="166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17" fontId="7" fillId="3" borderId="1" xfId="0" applyNumberFormat="1" applyFont="1" applyFill="1" applyBorder="1" applyAlignment="1">
      <alignment horizontal="left" wrapText="1"/>
    </xf>
    <xf numFmtId="0" fontId="15" fillId="0" borderId="0" xfId="5" applyFont="1"/>
    <xf numFmtId="165" fontId="16" fillId="0" borderId="0" xfId="5" applyNumberFormat="1" applyFont="1" applyAlignment="1">
      <alignment horizontal="center"/>
    </xf>
    <xf numFmtId="0" fontId="16" fillId="0" borderId="0" xfId="5" applyFont="1" applyAlignment="1">
      <alignment horizontal="center"/>
    </xf>
    <xf numFmtId="165" fontId="16" fillId="0" borderId="0" xfId="5" applyNumberFormat="1" applyFont="1"/>
    <xf numFmtId="0" fontId="4" fillId="0" borderId="0" xfId="6" applyFont="1" applyAlignment="1">
      <alignment horizontal="center"/>
    </xf>
    <xf numFmtId="165" fontId="4" fillId="0" borderId="0" xfId="6" applyNumberFormat="1" applyFont="1" applyAlignment="1">
      <alignment horizontal="center"/>
    </xf>
    <xf numFmtId="0" fontId="4" fillId="0" borderId="0" xfId="6" applyFont="1" applyAlignment="1">
      <alignment horizontal="center" vertical="center" wrapText="1"/>
    </xf>
    <xf numFmtId="167" fontId="4" fillId="0" borderId="0" xfId="6" applyNumberFormat="1" applyFont="1" applyAlignment="1">
      <alignment horizontal="center" vertical="center" wrapText="1"/>
    </xf>
    <xf numFmtId="0" fontId="17" fillId="0" borderId="0" xfId="6"/>
    <xf numFmtId="167" fontId="17" fillId="0" borderId="0" xfId="6" applyNumberFormat="1"/>
    <xf numFmtId="17" fontId="7" fillId="5" borderId="8" xfId="0" applyNumberFormat="1" applyFont="1" applyFill="1" applyBorder="1" applyAlignment="1">
      <alignment horizontal="left" wrapText="1"/>
    </xf>
    <xf numFmtId="14" fontId="7" fillId="0" borderId="1" xfId="0" applyNumberFormat="1" applyFont="1" applyBorder="1" applyAlignment="1">
      <alignment wrapText="1"/>
    </xf>
    <xf numFmtId="17" fontId="7" fillId="12" borderId="8" xfId="0" applyNumberFormat="1" applyFont="1" applyFill="1" applyBorder="1" applyAlignment="1">
      <alignment horizontal="left" wrapText="1"/>
    </xf>
    <xf numFmtId="0" fontId="7" fillId="12" borderId="1" xfId="0" applyFont="1" applyFill="1" applyBorder="1" applyAlignment="1">
      <alignment wrapText="1"/>
    </xf>
    <xf numFmtId="0" fontId="12" fillId="0" borderId="13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left" wrapText="1"/>
    </xf>
    <xf numFmtId="164" fontId="0" fillId="0" borderId="7" xfId="0" applyNumberFormat="1" applyBorder="1" applyAlignment="1">
      <alignment wrapText="1"/>
    </xf>
    <xf numFmtId="17" fontId="3" fillId="0" borderId="1" xfId="0" applyNumberFormat="1" applyFont="1" applyBorder="1" applyAlignment="1">
      <alignment horizontal="left" wrapText="1"/>
    </xf>
    <xf numFmtId="0" fontId="0" fillId="5" borderId="7" xfId="0" applyFill="1" applyBorder="1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7" xfId="0" applyFill="1" applyBorder="1" applyAlignment="1">
      <alignment wrapText="1"/>
    </xf>
    <xf numFmtId="0" fontId="7" fillId="5" borderId="7" xfId="0" applyFont="1" applyFill="1" applyBorder="1" applyAlignment="1">
      <alignment wrapText="1"/>
    </xf>
    <xf numFmtId="0" fontId="3" fillId="6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66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wrapText="1"/>
    </xf>
    <xf numFmtId="164" fontId="0" fillId="0" borderId="4" xfId="0" applyNumberFormat="1" applyBorder="1" applyAlignment="1">
      <alignment wrapText="1"/>
    </xf>
    <xf numFmtId="17" fontId="7" fillId="5" borderId="1" xfId="0" applyNumberFormat="1" applyFont="1" applyFill="1" applyBorder="1" applyAlignment="1">
      <alignment horizontal="left" wrapText="1"/>
    </xf>
    <xf numFmtId="164" fontId="3" fillId="0" borderId="17" xfId="1" applyNumberFormat="1" applyFont="1" applyBorder="1"/>
    <xf numFmtId="17" fontId="3" fillId="3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horizontal="right" wrapText="1"/>
    </xf>
    <xf numFmtId="0" fontId="0" fillId="0" borderId="0" xfId="0" applyAlignment="1">
      <alignment horizontal="center" vertical="center"/>
    </xf>
    <xf numFmtId="17" fontId="3" fillId="2" borderId="1" xfId="0" applyNumberFormat="1" applyFon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left" wrapText="1"/>
    </xf>
    <xf numFmtId="0" fontId="3" fillId="6" borderId="1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164" fontId="4" fillId="0" borderId="0" xfId="0" applyNumberFormat="1" applyFont="1" applyAlignment="1">
      <alignment horizontal="right" wrapText="1"/>
    </xf>
    <xf numFmtId="0" fontId="0" fillId="3" borderId="4" xfId="0" applyFill="1" applyBorder="1" applyAlignment="1">
      <alignment horizontal="left" wrapText="1"/>
    </xf>
    <xf numFmtId="0" fontId="0" fillId="3" borderId="4" xfId="0" applyFill="1" applyBorder="1" applyAlignment="1">
      <alignment wrapText="1"/>
    </xf>
    <xf numFmtId="164" fontId="0" fillId="3" borderId="4" xfId="0" applyNumberFormat="1" applyFill="1" applyBorder="1" applyAlignment="1">
      <alignment wrapText="1"/>
    </xf>
    <xf numFmtId="169" fontId="0" fillId="0" borderId="1" xfId="0" applyNumberFormat="1" applyBorder="1" applyAlignment="1">
      <alignment wrapText="1"/>
    </xf>
    <xf numFmtId="169" fontId="0" fillId="0" borderId="7" xfId="0" applyNumberFormat="1" applyBorder="1" applyAlignment="1">
      <alignment wrapText="1"/>
    </xf>
    <xf numFmtId="167" fontId="4" fillId="0" borderId="0" xfId="0" applyNumberFormat="1" applyFont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right"/>
    </xf>
    <xf numFmtId="0" fontId="3" fillId="3" borderId="7" xfId="0" applyFont="1" applyFill="1" applyBorder="1" applyAlignment="1">
      <alignment wrapText="1"/>
    </xf>
    <xf numFmtId="0" fontId="4" fillId="0" borderId="0" xfId="5" applyFont="1" applyAlignment="1">
      <alignment horizontal="center"/>
    </xf>
    <xf numFmtId="165" fontId="4" fillId="0" borderId="0" xfId="5" applyNumberFormat="1" applyFont="1" applyAlignment="1">
      <alignment horizontal="center"/>
    </xf>
    <xf numFmtId="0" fontId="4" fillId="0" borderId="0" xfId="5" applyFont="1" applyAlignment="1">
      <alignment horizontal="center" vertical="center" wrapText="1"/>
    </xf>
    <xf numFmtId="167" fontId="4" fillId="0" borderId="0" xfId="5" applyNumberFormat="1" applyFont="1" applyAlignment="1">
      <alignment horizontal="center" vertical="center" wrapText="1"/>
    </xf>
    <xf numFmtId="0" fontId="16" fillId="0" borderId="0" xfId="6" applyFont="1" applyAlignment="1">
      <alignment horizontal="center"/>
    </xf>
    <xf numFmtId="165" fontId="16" fillId="0" borderId="0" xfId="6" applyNumberFormat="1" applyFont="1" applyAlignment="1">
      <alignment horizontal="center"/>
    </xf>
    <xf numFmtId="0" fontId="16" fillId="0" borderId="0" xfId="6" applyFont="1"/>
    <xf numFmtId="14" fontId="0" fillId="0" borderId="1" xfId="0" applyNumberFormat="1" applyBorder="1" applyAlignment="1">
      <alignment horizontal="left" wrapText="1"/>
    </xf>
    <xf numFmtId="14" fontId="0" fillId="3" borderId="1" xfId="0" applyNumberFormat="1" applyFill="1" applyBorder="1" applyAlignment="1">
      <alignment horizontal="left" wrapText="1"/>
    </xf>
    <xf numFmtId="14" fontId="0" fillId="2" borderId="1" xfId="0" applyNumberFormat="1" applyFill="1" applyBorder="1" applyAlignment="1">
      <alignment horizontal="left" wrapText="1"/>
    </xf>
    <xf numFmtId="14" fontId="3" fillId="5" borderId="1" xfId="0" applyNumberFormat="1" applyFont="1" applyFill="1" applyBorder="1" applyAlignment="1">
      <alignment horizontal="left" wrapText="1"/>
    </xf>
    <xf numFmtId="14" fontId="0" fillId="0" borderId="4" xfId="0" applyNumberFormat="1" applyBorder="1" applyAlignment="1">
      <alignment horizontal="left" wrapText="1"/>
    </xf>
    <xf numFmtId="44" fontId="0" fillId="3" borderId="1" xfId="0" applyNumberFormat="1" applyFill="1" applyBorder="1" applyAlignment="1">
      <alignment horizontal="left" wrapText="1"/>
    </xf>
    <xf numFmtId="44" fontId="3" fillId="0" borderId="1" xfId="0" applyNumberFormat="1" applyFont="1" applyBorder="1" applyAlignment="1">
      <alignment horizontal="center" wrapText="1"/>
    </xf>
    <xf numFmtId="44" fontId="0" fillId="3" borderId="1" xfId="0" applyNumberFormat="1" applyFill="1" applyBorder="1" applyAlignment="1">
      <alignment wrapText="1"/>
    </xf>
    <xf numFmtId="44" fontId="0" fillId="0" borderId="1" xfId="0" applyNumberFormat="1" applyBorder="1" applyAlignment="1">
      <alignment horizontal="center" wrapText="1"/>
    </xf>
    <xf numFmtId="44" fontId="3" fillId="4" borderId="1" xfId="0" applyNumberFormat="1" applyFont="1" applyFill="1" applyBorder="1" applyAlignment="1">
      <alignment horizontal="center" wrapText="1"/>
    </xf>
    <xf numFmtId="44" fontId="0" fillId="2" borderId="1" xfId="0" applyNumberFormat="1" applyFill="1" applyBorder="1" applyAlignment="1">
      <alignment horizontal="center" wrapText="1"/>
    </xf>
    <xf numFmtId="44" fontId="3" fillId="2" borderId="1" xfId="0" applyNumberFormat="1" applyFont="1" applyFill="1" applyBorder="1" applyAlignment="1">
      <alignment wrapText="1"/>
    </xf>
    <xf numFmtId="44" fontId="3" fillId="5" borderId="1" xfId="0" applyNumberFormat="1" applyFont="1" applyFill="1" applyBorder="1" applyAlignment="1">
      <alignment wrapText="1"/>
    </xf>
    <xf numFmtId="44" fontId="0" fillId="0" borderId="1" xfId="0" applyNumberFormat="1" applyBorder="1" applyAlignment="1">
      <alignment wrapText="1"/>
    </xf>
    <xf numFmtId="44" fontId="3" fillId="0" borderId="1" xfId="0" applyNumberFormat="1" applyFont="1" applyBorder="1" applyAlignment="1">
      <alignment wrapText="1"/>
    </xf>
    <xf numFmtId="44" fontId="14" fillId="3" borderId="0" xfId="0" applyNumberFormat="1" applyFont="1" applyFill="1"/>
    <xf numFmtId="44" fontId="0" fillId="3" borderId="0" xfId="0" applyNumberFormat="1" applyFill="1"/>
    <xf numFmtId="44" fontId="3" fillId="3" borderId="1" xfId="0" applyNumberFormat="1" applyFont="1" applyFill="1" applyBorder="1" applyAlignment="1">
      <alignment wrapText="1"/>
    </xf>
    <xf numFmtId="44" fontId="0" fillId="0" borderId="1" xfId="0" applyNumberFormat="1" applyBorder="1" applyAlignment="1">
      <alignment horizontal="left" wrapText="1"/>
    </xf>
    <xf numFmtId="44" fontId="0" fillId="5" borderId="1" xfId="0" applyNumberFormat="1" applyFill="1" applyBorder="1" applyAlignment="1">
      <alignment horizontal="left" wrapText="1"/>
    </xf>
    <xf numFmtId="44" fontId="0" fillId="5" borderId="1" xfId="0" applyNumberFormat="1" applyFill="1" applyBorder="1" applyAlignment="1">
      <alignment wrapText="1"/>
    </xf>
    <xf numFmtId="44" fontId="0" fillId="0" borderId="4" xfId="0" applyNumberFormat="1" applyBorder="1" applyAlignment="1">
      <alignment wrapText="1"/>
    </xf>
    <xf numFmtId="44" fontId="0" fillId="0" borderId="0" xfId="0" applyNumberFormat="1"/>
    <xf numFmtId="14" fontId="7" fillId="5" borderId="1" xfId="0" applyNumberFormat="1" applyFont="1" applyFill="1" applyBorder="1" applyAlignment="1">
      <alignment wrapText="1"/>
    </xf>
    <xf numFmtId="14" fontId="0" fillId="0" borderId="0" xfId="0" applyNumberFormat="1" applyAlignment="1">
      <alignment horizontal="left"/>
    </xf>
    <xf numFmtId="14" fontId="7" fillId="0" borderId="1" xfId="0" applyNumberFormat="1" applyFont="1" applyBorder="1" applyAlignment="1">
      <alignment horizontal="left" wrapText="1"/>
    </xf>
    <xf numFmtId="14" fontId="7" fillId="12" borderId="1" xfId="0" applyNumberFormat="1" applyFont="1" applyFill="1" applyBorder="1" applyAlignment="1">
      <alignment horizontal="left" wrapText="1"/>
    </xf>
    <xf numFmtId="44" fontId="4" fillId="0" borderId="0" xfId="0" applyNumberFormat="1" applyFont="1" applyAlignment="1">
      <alignment horizontal="center"/>
    </xf>
    <xf numFmtId="44" fontId="8" fillId="0" borderId="1" xfId="0" applyNumberFormat="1" applyFont="1" applyBorder="1" applyAlignment="1">
      <alignment wrapText="1"/>
    </xf>
    <xf numFmtId="44" fontId="3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14" fillId="0" borderId="10" xfId="0" applyFont="1" applyBorder="1" applyAlignment="1">
      <alignment horizontal="left" wrapText="1"/>
    </xf>
    <xf numFmtId="0" fontId="14" fillId="0" borderId="10" xfId="0" applyFont="1" applyBorder="1" applyAlignment="1">
      <alignment wrapText="1"/>
    </xf>
    <xf numFmtId="44" fontId="7" fillId="7" borderId="1" xfId="0" applyNumberFormat="1" applyFont="1" applyFill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44" fontId="3" fillId="0" borderId="4" xfId="0" applyNumberFormat="1" applyFont="1" applyBorder="1" applyAlignment="1">
      <alignment wrapText="1"/>
    </xf>
    <xf numFmtId="17" fontId="3" fillId="2" borderId="4" xfId="0" applyNumberFormat="1" applyFont="1" applyFill="1" applyBorder="1" applyAlignment="1">
      <alignment horizontal="left" wrapText="1"/>
    </xf>
    <xf numFmtId="17" fontId="3" fillId="3" borderId="4" xfId="0" applyNumberFormat="1" applyFont="1" applyFill="1" applyBorder="1" applyAlignment="1">
      <alignment horizontal="left" wrapText="1"/>
    </xf>
    <xf numFmtId="44" fontId="14" fillId="0" borderId="10" xfId="0" applyNumberFormat="1" applyFont="1" applyBorder="1" applyAlignment="1">
      <alignment wrapText="1"/>
    </xf>
    <xf numFmtId="169" fontId="0" fillId="0" borderId="0" xfId="0" applyNumberFormat="1"/>
    <xf numFmtId="17" fontId="19" fillId="0" borderId="1" xfId="0" applyNumberFormat="1" applyFont="1" applyBorder="1" applyAlignment="1">
      <alignment horizontal="left" wrapText="1"/>
    </xf>
    <xf numFmtId="14" fontId="20" fillId="0" borderId="8" xfId="0" applyNumberFormat="1" applyFont="1" applyBorder="1" applyAlignment="1">
      <alignment horizontal="left" wrapText="1"/>
    </xf>
    <xf numFmtId="0" fontId="20" fillId="0" borderId="8" xfId="0" applyFont="1" applyBorder="1" applyAlignment="1">
      <alignment wrapText="1"/>
    </xf>
    <xf numFmtId="164" fontId="20" fillId="0" borderId="8" xfId="0" applyNumberFormat="1" applyFont="1" applyBorder="1" applyAlignment="1">
      <alignment wrapText="1"/>
    </xf>
    <xf numFmtId="17" fontId="19" fillId="0" borderId="3" xfId="0" applyNumberFormat="1" applyFont="1" applyBorder="1" applyAlignment="1">
      <alignment horizontal="left" wrapText="1"/>
    </xf>
    <xf numFmtId="14" fontId="20" fillId="0" borderId="11" xfId="0" applyNumberFormat="1" applyFont="1" applyBorder="1" applyAlignment="1">
      <alignment horizontal="left" wrapText="1"/>
    </xf>
    <xf numFmtId="0" fontId="20" fillId="0" borderId="11" xfId="0" applyFont="1" applyBorder="1" applyAlignment="1">
      <alignment wrapText="1"/>
    </xf>
    <xf numFmtId="164" fontId="20" fillId="0" borderId="11" xfId="0" applyNumberFormat="1" applyFont="1" applyBorder="1" applyAlignment="1">
      <alignment wrapText="1"/>
    </xf>
    <xf numFmtId="14" fontId="3" fillId="6" borderId="1" xfId="0" applyNumberFormat="1" applyFont="1" applyFill="1" applyBorder="1" applyAlignment="1">
      <alignment wrapText="1"/>
    </xf>
    <xf numFmtId="44" fontId="0" fillId="3" borderId="4" xfId="0" applyNumberFormat="1" applyFill="1" applyBorder="1" applyAlignment="1">
      <alignment wrapText="1"/>
    </xf>
    <xf numFmtId="44" fontId="0" fillId="0" borderId="1" xfId="0" applyNumberFormat="1" applyBorder="1" applyAlignment="1">
      <alignment horizontal="center" vertical="center" wrapText="1"/>
    </xf>
    <xf numFmtId="44" fontId="20" fillId="0" borderId="8" xfId="0" applyNumberFormat="1" applyFont="1" applyBorder="1" applyAlignment="1">
      <alignment wrapText="1"/>
    </xf>
    <xf numFmtId="44" fontId="20" fillId="0" borderId="11" xfId="0" applyNumberFormat="1" applyFont="1" applyBorder="1" applyAlignment="1">
      <alignment wrapText="1"/>
    </xf>
    <xf numFmtId="44" fontId="2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0" fontId="19" fillId="13" borderId="1" xfId="0" applyFont="1" applyFill="1" applyBorder="1" applyAlignment="1">
      <alignment wrapText="1"/>
    </xf>
    <xf numFmtId="44" fontId="19" fillId="13" borderId="8" xfId="0" applyNumberFormat="1" applyFont="1" applyFill="1" applyBorder="1" applyAlignment="1">
      <alignment wrapText="1"/>
    </xf>
    <xf numFmtId="17" fontId="3" fillId="5" borderId="1" xfId="0" applyNumberFormat="1" applyFont="1" applyFill="1" applyBorder="1" applyAlignment="1">
      <alignment horizontal="left" wrapText="1"/>
    </xf>
    <xf numFmtId="17" fontId="3" fillId="5" borderId="4" xfId="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 wrapText="1"/>
    </xf>
    <xf numFmtId="0" fontId="3" fillId="5" borderId="4" xfId="0" applyFont="1" applyFill="1" applyBorder="1" applyAlignment="1">
      <alignment wrapText="1"/>
    </xf>
    <xf numFmtId="44" fontId="3" fillId="5" borderId="4" xfId="0" applyNumberFormat="1" applyFont="1" applyFill="1" applyBorder="1" applyAlignment="1">
      <alignment wrapText="1"/>
    </xf>
    <xf numFmtId="164" fontId="3" fillId="5" borderId="4" xfId="0" applyNumberFormat="1" applyFont="1" applyFill="1" applyBorder="1" applyAlignment="1">
      <alignment wrapText="1"/>
    </xf>
    <xf numFmtId="17" fontId="3" fillId="0" borderId="4" xfId="0" applyNumberFormat="1" applyFont="1" applyBorder="1" applyAlignment="1">
      <alignment horizontal="left" wrapText="1"/>
    </xf>
    <xf numFmtId="44" fontId="0" fillId="0" borderId="7" xfId="0" applyNumberFormat="1" applyBorder="1" applyAlignment="1">
      <alignment horizontal="left" wrapText="1"/>
    </xf>
    <xf numFmtId="0" fontId="0" fillId="0" borderId="0" xfId="0" applyAlignment="1">
      <alignment horizontal="left"/>
    </xf>
    <xf numFmtId="17" fontId="20" fillId="0" borderId="1" xfId="0" applyNumberFormat="1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44" fontId="18" fillId="0" borderId="10" xfId="0" applyNumberFormat="1" applyFont="1" applyBorder="1" applyAlignment="1">
      <alignment wrapText="1"/>
    </xf>
    <xf numFmtId="44" fontId="3" fillId="5" borderId="4" xfId="0" applyNumberFormat="1" applyFont="1" applyFill="1" applyBorder="1" applyAlignment="1">
      <alignment horizontal="left" wrapText="1"/>
    </xf>
    <xf numFmtId="0" fontId="14" fillId="3" borderId="10" xfId="0" applyFont="1" applyFill="1" applyBorder="1" applyAlignment="1">
      <alignment horizontal="left" wrapText="1"/>
    </xf>
    <xf numFmtId="44" fontId="3" fillId="3" borderId="4" xfId="0" applyNumberFormat="1" applyFont="1" applyFill="1" applyBorder="1" applyAlignment="1">
      <alignment wrapText="1"/>
    </xf>
    <xf numFmtId="17" fontId="19" fillId="5" borderId="3" xfId="0" applyNumberFormat="1" applyFont="1" applyFill="1" applyBorder="1" applyAlignment="1">
      <alignment horizontal="left" wrapText="1"/>
    </xf>
    <xf numFmtId="164" fontId="20" fillId="5" borderId="11" xfId="0" applyNumberFormat="1" applyFont="1" applyFill="1" applyBorder="1" applyAlignment="1">
      <alignment wrapText="1"/>
    </xf>
    <xf numFmtId="0" fontId="10" fillId="0" borderId="0" xfId="0" applyFont="1" applyAlignment="1">
      <alignment horizontal="center" vertical="center"/>
    </xf>
    <xf numFmtId="17" fontId="11" fillId="0" borderId="15" xfId="2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/>
    </xf>
    <xf numFmtId="164" fontId="12" fillId="0" borderId="13" xfId="2" applyNumberFormat="1" applyFont="1" applyBorder="1" applyAlignment="1">
      <alignment horizontal="center" vertical="center"/>
    </xf>
    <xf numFmtId="164" fontId="12" fillId="3" borderId="13" xfId="2" applyNumberFormat="1" applyFont="1" applyFill="1" applyBorder="1" applyAlignment="1">
      <alignment horizontal="center" vertical="center"/>
    </xf>
    <xf numFmtId="164" fontId="12" fillId="0" borderId="4" xfId="2" applyNumberFormat="1" applyFont="1" applyBorder="1" applyAlignment="1">
      <alignment horizontal="center" vertical="center"/>
    </xf>
    <xf numFmtId="17" fontId="12" fillId="0" borderId="13" xfId="2" applyNumberFormat="1" applyFont="1" applyBorder="1" applyAlignment="1">
      <alignment horizontal="center" vertical="center"/>
    </xf>
    <xf numFmtId="17" fontId="11" fillId="0" borderId="10" xfId="2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44" fontId="12" fillId="0" borderId="4" xfId="2" applyNumberFormat="1" applyFont="1" applyBorder="1" applyAlignment="1">
      <alignment horizontal="center" vertical="center"/>
    </xf>
    <xf numFmtId="44" fontId="0" fillId="0" borderId="4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14" fontId="21" fillId="5" borderId="1" xfId="0" applyNumberFormat="1" applyFont="1" applyFill="1" applyBorder="1" applyAlignment="1">
      <alignment horizontal="left" wrapText="1"/>
    </xf>
    <xf numFmtId="164" fontId="21" fillId="5" borderId="1" xfId="0" applyNumberFormat="1" applyFont="1" applyFill="1" applyBorder="1" applyAlignment="1">
      <alignment wrapText="1"/>
    </xf>
    <xf numFmtId="0" fontId="21" fillId="5" borderId="1" xfId="0" applyFont="1" applyFill="1" applyBorder="1" applyAlignment="1">
      <alignment wrapText="1"/>
    </xf>
    <xf numFmtId="0" fontId="21" fillId="5" borderId="7" xfId="0" applyFont="1" applyFill="1" applyBorder="1" applyAlignment="1">
      <alignment wrapText="1"/>
    </xf>
    <xf numFmtId="44" fontId="3" fillId="0" borderId="7" xfId="0" applyNumberFormat="1" applyFont="1" applyBorder="1" applyAlignment="1">
      <alignment wrapText="1"/>
    </xf>
    <xf numFmtId="44" fontId="0" fillId="0" borderId="7" xfId="0" applyNumberFormat="1" applyBorder="1" applyAlignment="1">
      <alignment wrapText="1"/>
    </xf>
    <xf numFmtId="44" fontId="0" fillId="0" borderId="5" xfId="0" applyNumberFormat="1" applyBorder="1" applyAlignment="1">
      <alignment horizontal="left" wrapText="1"/>
    </xf>
    <xf numFmtId="14" fontId="0" fillId="3" borderId="1" xfId="0" applyNumberFormat="1" applyFill="1" applyBorder="1" applyAlignment="1">
      <alignment wrapText="1"/>
    </xf>
    <xf numFmtId="44" fontId="4" fillId="0" borderId="0" xfId="0" applyNumberFormat="1" applyFont="1" applyAlignment="1">
      <alignment horizontal="center" vertical="center" wrapText="1"/>
    </xf>
    <xf numFmtId="167" fontId="8" fillId="0" borderId="1" xfId="0" applyNumberFormat="1" applyFont="1" applyBorder="1" applyAlignment="1">
      <alignment wrapText="1"/>
    </xf>
    <xf numFmtId="167" fontId="6" fillId="0" borderId="1" xfId="0" applyNumberFormat="1" applyFont="1" applyBorder="1" applyAlignment="1">
      <alignment wrapText="1"/>
    </xf>
    <xf numFmtId="14" fontId="14" fillId="0" borderId="1" xfId="0" applyNumberFormat="1" applyFont="1" applyBorder="1" applyAlignment="1">
      <alignment wrapText="1"/>
    </xf>
    <xf numFmtId="44" fontId="7" fillId="0" borderId="1" xfId="0" applyNumberFormat="1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0" fillId="0" borderId="0" xfId="0" applyAlignment="1">
      <alignment horizontal="center" wrapText="1"/>
    </xf>
    <xf numFmtId="44" fontId="0" fillId="2" borderId="1" xfId="0" applyNumberFormat="1" applyFill="1" applyBorder="1" applyAlignment="1">
      <alignment wrapText="1"/>
    </xf>
    <xf numFmtId="0" fontId="14" fillId="14" borderId="1" xfId="0" applyFont="1" applyFill="1" applyBorder="1" applyAlignment="1">
      <alignment wrapText="1"/>
    </xf>
    <xf numFmtId="0" fontId="0" fillId="15" borderId="0" xfId="0" applyFill="1"/>
    <xf numFmtId="165" fontId="0" fillId="0" borderId="7" xfId="0" applyNumberFormat="1" applyBorder="1" applyAlignment="1">
      <alignment wrapText="1"/>
    </xf>
    <xf numFmtId="44" fontId="0" fillId="2" borderId="1" xfId="0" applyNumberFormat="1" applyFill="1" applyBorder="1" applyAlignment="1">
      <alignment horizontal="left" wrapText="1"/>
    </xf>
    <xf numFmtId="14" fontId="20" fillId="5" borderId="11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horizontal="left" wrapText="1"/>
    </xf>
    <xf numFmtId="17" fontId="7" fillId="0" borderId="10" xfId="0" applyNumberFormat="1" applyFont="1" applyBorder="1" applyAlignment="1">
      <alignment horizontal="left" wrapText="1"/>
    </xf>
    <xf numFmtId="14" fontId="3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horizontal="left" wrapText="1"/>
    </xf>
    <xf numFmtId="167" fontId="0" fillId="0" borderId="1" xfId="0" applyNumberFormat="1" applyBorder="1" applyAlignment="1">
      <alignment wrapText="1"/>
    </xf>
    <xf numFmtId="44" fontId="7" fillId="0" borderId="7" xfId="0" applyNumberFormat="1" applyFon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164" fontId="12" fillId="0" borderId="18" xfId="2" applyNumberFormat="1" applyFont="1" applyBorder="1" applyAlignment="1">
      <alignment horizontal="center" vertical="center"/>
    </xf>
    <xf numFmtId="44" fontId="12" fillId="3" borderId="4" xfId="2" applyNumberFormat="1" applyFont="1" applyFill="1" applyBorder="1" applyAlignment="1">
      <alignment horizontal="center" vertical="center"/>
    </xf>
    <xf numFmtId="164" fontId="12" fillId="0" borderId="18" xfId="2" applyNumberFormat="1" applyFont="1" applyBorder="1" applyAlignment="1">
      <alignment horizontal="center" vertical="center" wrapText="1"/>
    </xf>
    <xf numFmtId="0" fontId="12" fillId="16" borderId="0" xfId="2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3" fillId="5" borderId="1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4" fontId="13" fillId="0" borderId="0" xfId="0" applyNumberFormat="1" applyFont="1" applyAlignment="1">
      <alignment horizontal="center" vertical="center" wrapText="1"/>
    </xf>
    <xf numFmtId="44" fontId="12" fillId="0" borderId="13" xfId="2" applyNumberFormat="1" applyFont="1" applyBorder="1" applyAlignment="1">
      <alignment horizontal="center" vertical="center"/>
    </xf>
    <xf numFmtId="164" fontId="12" fillId="3" borderId="4" xfId="2" applyNumberFormat="1" applyFont="1" applyFill="1" applyBorder="1" applyAlignment="1">
      <alignment horizontal="center" vertical="center"/>
    </xf>
    <xf numFmtId="44" fontId="0" fillId="0" borderId="4" xfId="0" applyNumberFormat="1" applyBorder="1" applyAlignment="1">
      <alignment horizontal="center" wrapText="1"/>
    </xf>
    <xf numFmtId="44" fontId="3" fillId="0" borderId="4" xfId="0" applyNumberFormat="1" applyFont="1" applyBorder="1" applyAlignment="1">
      <alignment horizontal="center" wrapText="1"/>
    </xf>
    <xf numFmtId="44" fontId="18" fillId="0" borderId="10" xfId="0" applyNumberFormat="1" applyFont="1" applyBorder="1" applyAlignment="1">
      <alignment horizontal="center" wrapText="1"/>
    </xf>
    <xf numFmtId="44" fontId="14" fillId="0" borderId="10" xfId="0" applyNumberFormat="1" applyFont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44" fontId="0" fillId="2" borderId="4" xfId="0" applyNumberFormat="1" applyFill="1" applyBorder="1" applyAlignment="1">
      <alignment horizontal="center" wrapText="1"/>
    </xf>
    <xf numFmtId="44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2" borderId="4" xfId="0" applyFill="1" applyBorder="1" applyAlignment="1">
      <alignment horizontal="left" wrapText="1"/>
    </xf>
    <xf numFmtId="44" fontId="0" fillId="4" borderId="1" xfId="0" applyNumberFormat="1" applyFill="1" applyBorder="1" applyAlignment="1">
      <alignment wrapText="1"/>
    </xf>
    <xf numFmtId="44" fontId="0" fillId="3" borderId="4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44" fontId="0" fillId="3" borderId="1" xfId="0" applyNumberFormat="1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 wrapText="1"/>
    </xf>
    <xf numFmtId="0" fontId="12" fillId="0" borderId="0" xfId="2" applyFont="1" applyAlignment="1">
      <alignment horizontal="center" vertical="center" wrapText="1"/>
    </xf>
    <xf numFmtId="164" fontId="12" fillId="0" borderId="19" xfId="2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 wrapText="1"/>
    </xf>
    <xf numFmtId="164" fontId="12" fillId="0" borderId="20" xfId="2" applyNumberFormat="1" applyFont="1" applyBorder="1" applyAlignment="1">
      <alignment horizontal="center" vertical="center"/>
    </xf>
    <xf numFmtId="164" fontId="12" fillId="0" borderId="5" xfId="2" applyNumberFormat="1" applyFont="1" applyBorder="1" applyAlignment="1">
      <alignment horizontal="center" vertical="center"/>
    </xf>
    <xf numFmtId="17" fontId="11" fillId="0" borderId="19" xfId="2" applyNumberFormat="1" applyFont="1" applyBorder="1" applyAlignment="1">
      <alignment horizontal="center" vertical="center"/>
    </xf>
    <xf numFmtId="49" fontId="12" fillId="0" borderId="19" xfId="2" applyNumberFormat="1" applyFont="1" applyBorder="1" applyAlignment="1">
      <alignment horizontal="center" vertical="center"/>
    </xf>
    <xf numFmtId="44" fontId="12" fillId="0" borderId="19" xfId="2" applyNumberFormat="1" applyFont="1" applyBorder="1" applyAlignment="1">
      <alignment horizontal="center" vertical="center"/>
    </xf>
    <xf numFmtId="164" fontId="12" fillId="0" borderId="21" xfId="2" applyNumberFormat="1" applyFont="1" applyBorder="1" applyAlignment="1">
      <alignment horizontal="center" vertical="center"/>
    </xf>
    <xf numFmtId="44" fontId="0" fillId="3" borderId="4" xfId="0" applyNumberFormat="1" applyFill="1" applyBorder="1" applyAlignment="1">
      <alignment horizontal="center" wrapText="1"/>
    </xf>
    <xf numFmtId="10" fontId="12" fillId="0" borderId="13" xfId="2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left" wrapText="1"/>
    </xf>
    <xf numFmtId="164" fontId="0" fillId="6" borderId="9" xfId="1" applyNumberFormat="1" applyFont="1" applyFill="1" applyBorder="1" applyAlignment="1">
      <alignment horizontal="center" vertical="center"/>
    </xf>
    <xf numFmtId="165" fontId="0" fillId="3" borderId="7" xfId="0" applyNumberFormat="1" applyFill="1" applyBorder="1" applyAlignment="1">
      <alignment horizontal="left" wrapText="1"/>
    </xf>
    <xf numFmtId="164" fontId="14" fillId="0" borderId="11" xfId="0" applyNumberFormat="1" applyFont="1" applyBorder="1" applyAlignment="1">
      <alignment horizontal="left" wrapText="1"/>
    </xf>
    <xf numFmtId="164" fontId="0" fillId="0" borderId="4" xfId="0" applyNumberFormat="1" applyBorder="1" applyAlignment="1">
      <alignment horizontal="left" wrapText="1"/>
    </xf>
    <xf numFmtId="165" fontId="0" fillId="0" borderId="6" xfId="0" applyNumberFormat="1" applyBorder="1" applyAlignment="1">
      <alignment horizontal="left" wrapText="1"/>
    </xf>
    <xf numFmtId="165" fontId="0" fillId="0" borderId="9" xfId="0" applyNumberFormat="1" applyBorder="1" applyAlignment="1">
      <alignment horizontal="left" wrapText="1"/>
    </xf>
    <xf numFmtId="164" fontId="0" fillId="8" borderId="7" xfId="0" applyNumberFormat="1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17" fontId="7" fillId="0" borderId="0" xfId="0" applyNumberFormat="1" applyFont="1" applyAlignment="1">
      <alignment horizontal="left" wrapText="1"/>
    </xf>
    <xf numFmtId="0" fontId="14" fillId="0" borderId="11" xfId="0" applyFont="1" applyBorder="1" applyAlignment="1">
      <alignment horizontal="left" wrapText="1"/>
    </xf>
    <xf numFmtId="170" fontId="0" fillId="0" borderId="1" xfId="0" applyNumberFormat="1" applyBorder="1" applyAlignment="1">
      <alignment horizontal="left" wrapText="1"/>
    </xf>
    <xf numFmtId="170" fontId="0" fillId="2" borderId="1" xfId="0" applyNumberFormat="1" applyFill="1" applyBorder="1" applyAlignment="1">
      <alignment horizontal="left" wrapText="1"/>
    </xf>
    <xf numFmtId="44" fontId="0" fillId="0" borderId="0" xfId="0" applyNumberFormat="1" applyAlignment="1">
      <alignment horizontal="center" vertical="center"/>
    </xf>
    <xf numFmtId="44" fontId="0" fillId="3" borderId="1" xfId="0" applyNumberFormat="1" applyFill="1" applyBorder="1" applyAlignment="1">
      <alignment horizontal="right" wrapText="1"/>
    </xf>
    <xf numFmtId="49" fontId="12" fillId="0" borderId="4" xfId="2" applyNumberFormat="1" applyFont="1" applyBorder="1" applyAlignment="1">
      <alignment horizontal="center" vertical="center"/>
    </xf>
    <xf numFmtId="17" fontId="7" fillId="0" borderId="4" xfId="0" applyNumberFormat="1" applyFont="1" applyBorder="1" applyAlignment="1">
      <alignment horizontal="left" wrapText="1"/>
    </xf>
    <xf numFmtId="0" fontId="3" fillId="5" borderId="5" xfId="0" applyFont="1" applyFill="1" applyBorder="1" applyAlignment="1">
      <alignment wrapText="1"/>
    </xf>
    <xf numFmtId="171" fontId="0" fillId="0" borderId="1" xfId="0" applyNumberForma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3" fillId="3" borderId="7" xfId="0" applyNumberFormat="1" applyFont="1" applyFill="1" applyBorder="1" applyAlignment="1">
      <alignment wrapText="1"/>
    </xf>
    <xf numFmtId="43" fontId="0" fillId="0" borderId="0" xfId="0" applyNumberFormat="1"/>
    <xf numFmtId="167" fontId="22" fillId="0" borderId="1" xfId="0" applyNumberFormat="1" applyFont="1" applyBorder="1" applyAlignment="1">
      <alignment wrapText="1"/>
    </xf>
    <xf numFmtId="43" fontId="10" fillId="0" borderId="0" xfId="0" applyNumberFormat="1" applyFont="1" applyAlignment="1">
      <alignment horizontal="center" vertical="center"/>
    </xf>
    <xf numFmtId="172" fontId="0" fillId="2" borderId="0" xfId="0" applyNumberFormat="1" applyFill="1"/>
    <xf numFmtId="172" fontId="3" fillId="6" borderId="3" xfId="0" applyNumberFormat="1" applyFont="1" applyFill="1" applyBorder="1" applyAlignment="1">
      <alignment horizontal="center" vertical="center"/>
    </xf>
    <xf numFmtId="172" fontId="0" fillId="0" borderId="1" xfId="0" applyNumberFormat="1" applyBorder="1" applyAlignment="1">
      <alignment horizontal="left" wrapText="1"/>
    </xf>
    <xf numFmtId="172" fontId="0" fillId="3" borderId="1" xfId="0" applyNumberFormat="1" applyFill="1" applyBorder="1" applyAlignment="1">
      <alignment horizontal="left" wrapText="1"/>
    </xf>
    <xf numFmtId="172" fontId="0" fillId="4" borderId="1" xfId="0" applyNumberFormat="1" applyFill="1" applyBorder="1" applyAlignment="1">
      <alignment horizontal="left" wrapText="1"/>
    </xf>
    <xf numFmtId="172" fontId="0" fillId="2" borderId="1" xfId="0" applyNumberFormat="1" applyFill="1" applyBorder="1" applyAlignment="1">
      <alignment horizontal="left" wrapText="1"/>
    </xf>
    <xf numFmtId="172" fontId="0" fillId="5" borderId="1" xfId="0" applyNumberFormat="1" applyFill="1" applyBorder="1" applyAlignment="1">
      <alignment horizontal="left" wrapText="1"/>
    </xf>
    <xf numFmtId="172" fontId="3" fillId="5" borderId="1" xfId="0" applyNumberFormat="1" applyFont="1" applyFill="1" applyBorder="1" applyAlignment="1">
      <alignment horizontal="left" wrapText="1"/>
    </xf>
    <xf numFmtId="172" fontId="0" fillId="0" borderId="4" xfId="0" applyNumberFormat="1" applyBorder="1" applyAlignment="1">
      <alignment horizontal="left" wrapText="1"/>
    </xf>
    <xf numFmtId="172" fontId="0" fillId="3" borderId="4" xfId="0" applyNumberFormat="1" applyFill="1" applyBorder="1" applyAlignment="1">
      <alignment horizontal="left" wrapText="1"/>
    </xf>
    <xf numFmtId="172" fontId="14" fillId="0" borderId="10" xfId="0" applyNumberFormat="1" applyFont="1" applyBorder="1" applyAlignment="1">
      <alignment horizontal="left" wrapText="1"/>
    </xf>
    <xf numFmtId="172" fontId="0" fillId="5" borderId="4" xfId="0" applyNumberFormat="1" applyFill="1" applyBorder="1" applyAlignment="1">
      <alignment horizontal="left" wrapText="1"/>
    </xf>
    <xf numFmtId="172" fontId="0" fillId="0" borderId="1" xfId="0" applyNumberFormat="1" applyBorder="1" applyAlignment="1">
      <alignment wrapText="1"/>
    </xf>
    <xf numFmtId="172" fontId="3" fillId="5" borderId="4" xfId="0" applyNumberFormat="1" applyFont="1" applyFill="1" applyBorder="1" applyAlignment="1">
      <alignment wrapText="1"/>
    </xf>
    <xf numFmtId="172" fontId="3" fillId="0" borderId="1" xfId="0" applyNumberFormat="1" applyFont="1" applyBorder="1" applyAlignment="1">
      <alignment wrapText="1"/>
    </xf>
    <xf numFmtId="172" fontId="0" fillId="0" borderId="0" xfId="0" applyNumberFormat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172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4" fontId="23" fillId="0" borderId="0" xfId="0" applyNumberFormat="1" applyFont="1" applyAlignment="1">
      <alignment horizontal="left"/>
    </xf>
    <xf numFmtId="49" fontId="0" fillId="0" borderId="4" xfId="0" applyNumberFormat="1" applyBorder="1" applyAlignment="1">
      <alignment horizontal="center" wrapText="1"/>
    </xf>
    <xf numFmtId="49" fontId="14" fillId="0" borderId="10" xfId="0" applyNumberFormat="1" applyFont="1" applyBorder="1" applyAlignment="1">
      <alignment horizontal="center" wrapText="1"/>
    </xf>
    <xf numFmtId="49" fontId="22" fillId="0" borderId="1" xfId="0" applyNumberFormat="1" applyFont="1" applyBorder="1" applyAlignment="1">
      <alignment wrapText="1"/>
    </xf>
    <xf numFmtId="173" fontId="0" fillId="0" borderId="0" xfId="0" applyNumberFormat="1"/>
    <xf numFmtId="167" fontId="22" fillId="3" borderId="1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166" fontId="1" fillId="0" borderId="1" xfId="0" applyNumberFormat="1" applyFont="1" applyBorder="1" applyAlignment="1">
      <alignment horizontal="left" wrapText="1"/>
    </xf>
    <xf numFmtId="17" fontId="1" fillId="0" borderId="8" xfId="0" applyNumberFormat="1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  <xf numFmtId="0" fontId="1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10" borderId="1" xfId="0" applyFont="1" applyFill="1" applyBorder="1" applyAlignment="1">
      <alignment wrapText="1"/>
    </xf>
    <xf numFmtId="14" fontId="1" fillId="5" borderId="1" xfId="0" applyNumberFormat="1" applyFont="1" applyFill="1" applyBorder="1" applyAlignment="1">
      <alignment horizontal="left" wrapText="1"/>
    </xf>
    <xf numFmtId="0" fontId="1" fillId="5" borderId="1" xfId="0" applyFont="1" applyFill="1" applyBorder="1" applyAlignment="1">
      <alignment wrapText="1"/>
    </xf>
    <xf numFmtId="164" fontId="1" fillId="5" borderId="1" xfId="0" applyNumberFormat="1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11" borderId="1" xfId="0" applyFont="1" applyFill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4" fontId="1" fillId="5" borderId="1" xfId="0" applyNumberFormat="1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164" fontId="1" fillId="12" borderId="1" xfId="0" applyNumberFormat="1" applyFont="1" applyFill="1" applyBorder="1" applyAlignment="1">
      <alignment wrapText="1"/>
    </xf>
    <xf numFmtId="0" fontId="1" fillId="12" borderId="7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  <xf numFmtId="169" fontId="1" fillId="0" borderId="1" xfId="1" applyNumberFormat="1" applyFont="1" applyBorder="1" applyAlignment="1">
      <alignment wrapText="1"/>
    </xf>
    <xf numFmtId="169" fontId="1" fillId="0" borderId="1" xfId="0" applyNumberFormat="1" applyFont="1" applyBorder="1" applyAlignment="1">
      <alignment wrapText="1"/>
    </xf>
    <xf numFmtId="44" fontId="1" fillId="0" borderId="7" xfId="0" applyNumberFormat="1" applyFont="1" applyBorder="1" applyAlignment="1">
      <alignment wrapText="1"/>
    </xf>
    <xf numFmtId="44" fontId="1" fillId="0" borderId="1" xfId="0" applyNumberFormat="1" applyFont="1" applyBorder="1" applyAlignment="1">
      <alignment wrapText="1"/>
    </xf>
    <xf numFmtId="44" fontId="1" fillId="5" borderId="1" xfId="0" applyNumberFormat="1" applyFont="1" applyFill="1" applyBorder="1" applyAlignment="1">
      <alignment wrapText="1"/>
    </xf>
    <xf numFmtId="44" fontId="1" fillId="5" borderId="7" xfId="0" applyNumberFormat="1" applyFont="1" applyFill="1" applyBorder="1" applyAlignment="1">
      <alignment wrapText="1"/>
    </xf>
    <xf numFmtId="44" fontId="1" fillId="7" borderId="1" xfId="0" applyNumberFormat="1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164" fontId="1" fillId="7" borderId="1" xfId="0" applyNumberFormat="1" applyFont="1" applyFill="1" applyBorder="1" applyAlignment="1">
      <alignment wrapText="1"/>
    </xf>
    <xf numFmtId="164" fontId="1" fillId="0" borderId="1" xfId="0" quotePrefix="1" applyNumberFormat="1" applyFont="1" applyBorder="1" applyAlignment="1">
      <alignment wrapText="1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166" fontId="1" fillId="0" borderId="7" xfId="0" applyNumberFormat="1" applyFont="1" applyBorder="1" applyAlignment="1">
      <alignment horizontal="left" wrapText="1"/>
    </xf>
    <xf numFmtId="14" fontId="1" fillId="0" borderId="7" xfId="0" applyNumberFormat="1" applyFont="1" applyBorder="1" applyAlignment="1">
      <alignment wrapText="1"/>
    </xf>
    <xf numFmtId="14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164" fontId="1" fillId="4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6" fontId="1" fillId="4" borderId="1" xfId="0" applyNumberFormat="1" applyFont="1" applyFill="1" applyBorder="1" applyAlignment="1">
      <alignment horizontal="left" wrapText="1"/>
    </xf>
    <xf numFmtId="164" fontId="1" fillId="5" borderId="1" xfId="0" applyNumberFormat="1" applyFont="1" applyFill="1" applyBorder="1" applyAlignment="1">
      <alignment horizontal="left" wrapText="1"/>
    </xf>
    <xf numFmtId="166" fontId="1" fillId="5" borderId="1" xfId="0" applyNumberFormat="1" applyFont="1" applyFill="1" applyBorder="1" applyAlignment="1">
      <alignment horizontal="left" wrapText="1"/>
    </xf>
    <xf numFmtId="166" fontId="1" fillId="5" borderId="7" xfId="0" applyNumberFormat="1" applyFont="1" applyFill="1" applyBorder="1" applyAlignment="1">
      <alignment horizontal="left" wrapText="1"/>
    </xf>
    <xf numFmtId="44" fontId="1" fillId="0" borderId="1" xfId="0" applyNumberFormat="1" applyFont="1" applyBorder="1" applyAlignment="1">
      <alignment horizontal="left" wrapText="1"/>
    </xf>
    <xf numFmtId="44" fontId="1" fillId="5" borderId="1" xfId="0" applyNumberFormat="1" applyFont="1" applyFill="1" applyBorder="1" applyAlignment="1">
      <alignment horizontal="left" wrapText="1"/>
    </xf>
    <xf numFmtId="166" fontId="1" fillId="0" borderId="5" xfId="0" applyNumberFormat="1" applyFont="1" applyBorder="1" applyAlignment="1">
      <alignment horizontal="left" wrapText="1"/>
    </xf>
    <xf numFmtId="166" fontId="1" fillId="0" borderId="4" xfId="0" applyNumberFormat="1" applyFont="1" applyBorder="1" applyAlignment="1">
      <alignment horizontal="left" wrapText="1"/>
    </xf>
    <xf numFmtId="44" fontId="1" fillId="0" borderId="4" xfId="0" applyNumberFormat="1" applyFont="1" applyBorder="1" applyAlignment="1">
      <alignment horizontal="left" wrapText="1"/>
    </xf>
    <xf numFmtId="166" fontId="1" fillId="5" borderId="4" xfId="0" applyNumberFormat="1" applyFont="1" applyFill="1" applyBorder="1" applyAlignment="1">
      <alignment horizontal="left" wrapText="1"/>
    </xf>
    <xf numFmtId="14" fontId="1" fillId="5" borderId="4" xfId="0" applyNumberFormat="1" applyFont="1" applyFill="1" applyBorder="1" applyAlignment="1">
      <alignment horizontal="left" wrapText="1"/>
    </xf>
    <xf numFmtId="44" fontId="1" fillId="5" borderId="4" xfId="0" applyNumberFormat="1" applyFont="1" applyFill="1" applyBorder="1" applyAlignment="1">
      <alignment horizontal="left" wrapText="1"/>
    </xf>
    <xf numFmtId="166" fontId="1" fillId="5" borderId="5" xfId="0" applyNumberFormat="1" applyFont="1" applyFill="1" applyBorder="1" applyAlignment="1">
      <alignment horizontal="left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7">
    <cellStyle name="Currency" xfId="1" builtinId="4"/>
    <cellStyle name="Currency 2" xfId="3" xr:uid="{00000000-0005-0000-0000-000003000000}"/>
    <cellStyle name="Normal" xfId="0" builtinId="0"/>
    <cellStyle name="Normal 10" xfId="2" xr:uid="{00000000-0005-0000-0000-000002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</cellStyles>
  <dxfs count="233">
    <dxf>
      <font>
        <b/>
        <color rgb="FFFF0000"/>
      </font>
    </dxf>
    <dxf>
      <font>
        <b/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/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/>
        <color rgb="FFFF0000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6" formatCode="[$-F800]dddd\,\ mmmm\ dd\,\ yyyy"/>
      <alignment horizontal="left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6" formatCode="[$-F800]dddd\,\ mmmm\ dd\,\ yyyy"/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6" formatCode="[$-F800]dddd\,\ mmmm\ dd\,\ yyyy"/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9" formatCode="dd/mm/yyyy"/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6" formatCode="[$-F800]dddd\,\ mmmm\ dd\,\ yyyy"/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left" vertical="bottom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_-&quot;£&quot;* #,##0.00_-;\-&quot;£&quot;* #,##0.00_-;_-&quot;£&quot;* &quot;-&quot;??_-;_-@_-"/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9" formatCode="dd/mm/yyyy"/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22" formatCode="mmm\-yy"/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bottom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£&quot;* #,##0.00_-;\-&quot;£&quot;* #,##0.00_-;_-&quot;£&quot;* &quot;-&quot;??_-;_-@_-"/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-F800]dddd\,\ mmmm\ dd\,\ yyyy"/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£&quot;* #,##0.00_-;\-&quot;£&quot;* #,##0.00_-;_-&quot;£&quot;* &quot;-&quot;??_-;_-@_-"/>
      <alignment horizontal="left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£&quot;* #,##0.00_-;\-&quot;£&quot;* #,##0.00_-;_-&quot;£&quot;* &quot;-&quot;??_-;_-@_-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£&quot;* #,##0.00_-;\-&quot;£&quot;* #,##0.00_-;_-&quot;£&quot;* &quot;-&quot;??_-;_-@_-"/>
    </dxf>
    <dxf>
      <numFmt numFmtId="165" formatCode="[$£-809]#,##0.00"/>
      <alignment horizontal="left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[$£-809]#,##0.00"/>
      <fill>
        <patternFill>
          <fgColor indexed="64"/>
          <bgColor indexed="65"/>
        </patternFill>
      </fill>
      <alignment horizontal="left" vertical="bottom" wrapText="1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[$£-809]#,##0.00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4" formatCode="_(&quot;£&quot;* #,##0.00_);_(&quot;£&quot;* \(#,##0.00\);_(&quot;£&quot;* &quot;-&quot;??_);_(@_)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4" formatCode="_(&quot;£&quot;* #,##0.00_);_(&quot;£&quot;* \(#,##0.00\);_(&quot;£&quot;* &quot;-&quot;??_);_(@_)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72" formatCode="[$-409]d\-mmm\-yyyy;@"/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/>
    </dxf>
    <dxf>
      <numFmt numFmtId="30" formatCode="@"/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£&quot;* #,##0.00_-;\-&quot;£&quot;* #,##0.00_-;_-&quot;£&quot;* &quot;-&quot;??_-;_-@_-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fill>
        <patternFill>
          <fgColor indexed="64"/>
          <bgColor indexed="65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22" formatCode="mmm\-yy"/>
      <fill>
        <patternFill>
          <fgColor indexed="64"/>
          <bgColor indexed="65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22" formatCode="mmm\-yy"/>
      <fill>
        <patternFill>
          <fgColor indexed="64"/>
          <bgColor indexed="65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22" formatCode="mmm\-yy"/>
      <fill>
        <patternFill>
          <fgColor indexed="64"/>
          <bgColor indexed="65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fill>
        <patternFill>
          <fgColor indexed="64"/>
          <bgColor indexed="65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fill>
        <patternFill>
          <fgColor indexed="64"/>
          <bgColor indexed="65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4" formatCode="_-&quot;£&quot;* #,##0.00_-;\-&quot;£&quot;* #,##0.00_-;_-&quot;£&quot;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168" formatCode="\£#,##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Calibri  "/>
      </font>
      <numFmt numFmtId="22" formatCode="mmm\-yy"/>
      <alignment horizontal="center" vertical="center"/>
      <border>
        <left/>
        <right style="thin">
          <color indexed="64"/>
        </right>
        <top style="thin">
          <color indexed="64"/>
        </top>
        <bottom style="hair">
          <color indexed="64"/>
        </bottom>
      </border>
    </dxf>
    <dxf>
      <border outline="0">
        <left style="thin">
          <color indexed="64"/>
        </left>
        <top style="medium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auto="1"/>
        <name val="Calibri  "/>
      </font>
      <alignment horizontal="center" vertical="center" wrapText="1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 defaultTableStyle="TableStyleMedium2" defaultPivotStyle="PivotStyleLight16">
    <tableStyle name="August Dashboard-style" pivot="0" count="4" xr9:uid="{00000000-0011-0000-FFFF-FFFF00000000}">
      <tableStyleElement type="wholeTable" size="0" dxfId="232"/>
      <tableStyleElement type="headerRow" dxfId="231"/>
      <tableStyleElement type="firstRowStripe" dxfId="230"/>
      <tableStyleElement type="secondRowStripe" dxfId="229"/>
    </tableStyle>
    <tableStyle name="August Dashboard-style 2" pivot="0" count="4" xr9:uid="{00000000-0011-0000-FFFF-FFFF01000000}">
      <tableStyleElement type="wholeTable" size="0" dxfId="228"/>
      <tableStyleElement type="headerRow" dxfId="227"/>
      <tableStyleElement type="firstRowStripe" dxfId="226"/>
      <tableStyleElement type="secondRowStripe" dxfId="225"/>
    </tableStyle>
    <tableStyle name="August Dashboard-style 3" pivot="0" count="4" xr9:uid="{00000000-0011-0000-FFFF-FFFF02000000}">
      <tableStyleElement type="wholeTable" size="0" dxfId="224"/>
      <tableStyleElement type="headerRow" dxfId="223"/>
      <tableStyleElement type="firstRowStripe" dxfId="222"/>
      <tableStyleElement type="secondRowStripe" dxfId="221"/>
    </tableStyle>
    <tableStyle name="July Dashboard-style" pivot="0" count="4" xr9:uid="{00000000-0011-0000-FFFF-FFFF03000000}">
      <tableStyleElement type="wholeTable" size="0" dxfId="220"/>
      <tableStyleElement type="headerRow" dxfId="219"/>
      <tableStyleElement type="firstRowStripe" dxfId="218"/>
      <tableStyleElement type="secondRowStripe" dxfId="217"/>
    </tableStyle>
    <tableStyle name="July Dashboard-style 2" pivot="0" count="4" xr9:uid="{00000000-0011-0000-FFFF-FFFF04000000}">
      <tableStyleElement type="wholeTable" size="0" dxfId="216"/>
      <tableStyleElement type="headerRow" dxfId="215"/>
      <tableStyleElement type="firstRowStripe" dxfId="214"/>
      <tableStyleElement type="secondRowStripe" dxfId="213"/>
    </tableStyle>
    <tableStyle name="July Dashboard-style 3" pivot="0" count="4" xr9:uid="{00000000-0011-0000-FFFF-FFFF05000000}">
      <tableStyleElement type="wholeTable" size="0" dxfId="212"/>
      <tableStyleElement type="headerRow" dxfId="211"/>
      <tableStyleElement type="firstRowStripe" dxfId="210"/>
      <tableStyleElement type="secondRowStripe" dxfId="209"/>
    </tableStyle>
    <tableStyle name="October Dashboard-style" pivot="0" count="3" xr9:uid="{00000000-0011-0000-FFFF-FFFF06000000}">
      <tableStyleElement type="headerRow" dxfId="208"/>
      <tableStyleElement type="firstRowStripe" dxfId="207"/>
      <tableStyleElement type="secondRowStripe" dxfId="206"/>
    </tableStyle>
    <tableStyle name="October Dashboard-style 2" pivot="0" count="3" xr9:uid="{00000000-0011-0000-FFFF-FFFF07000000}">
      <tableStyleElement type="headerRow" dxfId="205"/>
      <tableStyleElement type="firstRowStripe" dxfId="204"/>
      <tableStyleElement type="secondRowStripe" dxfId="203"/>
    </tableStyle>
    <tableStyle name="October Dashboard-style 3" pivot="0" count="3" xr9:uid="{00000000-0011-0000-FFFF-FFFF08000000}">
      <tableStyleElement type="headerRow" dxfId="202"/>
      <tableStyleElement type="firstRowStripe" dxfId="201"/>
      <tableStyleElement type="secondRowStripe" dxfId="200"/>
    </tableStyle>
    <tableStyle name="September Dashboard-style" pivot="0" count="4" xr9:uid="{00000000-0011-0000-FFFF-FFFF09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September Dashboard-style 2" pivot="0" count="4" xr9:uid="{00000000-0011-0000-FFFF-FFFF0A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September Dashboard-style 3" pivot="0" count="4" xr9:uid="{00000000-0011-0000-FFFF-FFFF0B000000}">
      <tableStyleElement type="wholeTable" size="0" dxfId="191"/>
      <tableStyleElement type="headerRow" dxfId="190"/>
      <tableStyleElement type="firstRowStripe" dxfId="189"/>
      <tableStyleElement type="secondRowStripe" dxfId="1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3873" t="36000" b="37000"/>
        <a:stretch>
          <a:fillRect/>
        </a:stretch>
      </xdr:blipFill>
      <xdr:spPr>
        <a:xfrm>
          <a:off x="0" y="-733425"/>
          <a:ext cx="0" cy="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1" displayName="Table11" ref="A3:N20" totalsRowShown="0" headerRowDxfId="187" dataDxfId="186" tableBorderDxfId="185" headerRowCellStyle="Normal 10" dataCellStyle="Normal 10">
  <autoFilter ref="A3:N20" xr:uid="{00000000-0009-0000-0100-000001000000}"/>
  <tableColumns count="14">
    <tableColumn id="1" xr3:uid="{00000000-0010-0000-0000-000001000000}" name="Month" dataDxfId="184" dataCellStyle="Normal 10"/>
    <tableColumn id="2" xr3:uid="{00000000-0010-0000-0000-000002000000}" name="Cars Sold" dataDxfId="183" dataCellStyle="Normal 10"/>
    <tableColumn id="3" xr3:uid="{00000000-0010-0000-0000-000003000000}" name="Total Revenue" dataDxfId="182" dataCellStyle="Normal 10">
      <calculatedColumnFormula>SUM('Sold Stock'!G3:G10)</calculatedColumnFormula>
    </tableColumn>
    <tableColumn id="4" xr3:uid="{00000000-0010-0000-0000-000004000000}" name="Total Gross Profit" dataDxfId="181" dataCellStyle="Normal 10">
      <calculatedColumnFormula>'Sold Stock'!J12</calculatedColumnFormula>
    </tableColumn>
    <tableColumn id="17" xr3:uid="{00000000-0010-0000-0000-000011000000}" name="Company Expenses" dataDxfId="180" dataCellStyle="Normal 10"/>
    <tableColumn id="11" xr3:uid="{00000000-0010-0000-0000-00000B000000}" name="Total MP Gross Profit" dataDxfId="179" dataCellStyle="Normal 10">
      <calculatedColumnFormula>Table11[[#This Row],[Total Gross Profit]]-SUM(#REF!)</calculatedColumnFormula>
    </tableColumn>
    <tableColumn id="8" xr3:uid="{00000000-0010-0000-0000-000008000000}" name="Investor Net Profit" dataDxfId="178" dataCellStyle="Normal 10">
      <calculatedColumnFormula>SUM('Sold Stock'!K97)</calculatedColumnFormula>
    </tableColumn>
    <tableColumn id="12" xr3:uid="{00000000-0010-0000-0000-00000C000000}" name="Investor Expense" dataDxfId="177" totalsRowDxfId="176" dataCellStyle="Normal 10">
      <calculatedColumnFormula>'Investor Car Expense'!D2</calculatedColumnFormula>
    </tableColumn>
    <tableColumn id="15" xr3:uid="{00000000-0010-0000-0000-00000F000000}" name="Company Fuel Costs" dataDxfId="175" totalsRowDxfId="174" dataCellStyle="Normal 10"/>
    <tableColumn id="10" xr3:uid="{00000000-0010-0000-0000-00000A000000}" name="Other Money In" dataDxfId="173" totalsRowDxfId="172" dataCellStyle="Normal 10">
      <calculatedColumnFormula>'Money in'!D1</calculatedColumnFormula>
    </tableColumn>
    <tableColumn id="13" xr3:uid="{00000000-0010-0000-0000-00000D000000}" name="Other Money Out" dataDxfId="171" totalsRowDxfId="170" dataCellStyle="Normal 10">
      <calculatedColumnFormula array="1">_xlfn.ANCHORARRAY('Money Out'!D3)</calculatedColumnFormula>
    </tableColumn>
    <tableColumn id="7" xr3:uid="{00000000-0010-0000-0000-000007000000}" name="Net Profit Exc Investor" dataDxfId="169" dataCellStyle="Normal 10">
      <calculatedColumnFormula>Table11[[#This Row],[Total Gross Profit]]-SUM(#REF!)</calculatedColumnFormula>
    </tableColumn>
    <tableColumn id="9" xr3:uid="{00000000-0010-0000-0000-000009000000}" name="Net Exc Investor" dataDxfId="168" totalsRowDxfId="167" dataCellStyle="Normal 10">
      <calculatedColumnFormula>Table11[[#This Row],[Net Profit Exc Investor]]+Table11[[#This Row],[Other Money In]]-#REF!-#REF!</calculatedColumnFormula>
    </tableColumn>
    <tableColumn id="14" xr3:uid="{00000000-0010-0000-0000-00000E000000}" name="Notes" dataDxfId="166" totalsRowDxfId="165" dataCellStyle="Normal 10"/>
  </tableColumns>
  <tableStyleInfo name="July Dashboard-style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2:P142" totalsRowShown="0" headerRowDxfId="164" headerRowBorderDxfId="163">
  <autoFilter ref="A2:P142" xr:uid="{00000000-0009-0000-0100-000002000000}"/>
  <tableColumns count="16">
    <tableColumn id="1" xr3:uid="{00000000-0010-0000-0100-000001000000}" name="Month"/>
    <tableColumn id="2" xr3:uid="{00000000-0010-0000-0100-000002000000}" name="Date Aquired"/>
    <tableColumn id="3" xr3:uid="{00000000-0010-0000-0100-000003000000}" name="Number Plate reference"/>
    <tableColumn id="4" xr3:uid="{00000000-0010-0000-0100-000004000000}" name="Make &amp; Model"/>
    <tableColumn id="11" xr3:uid="{00000000-0010-0000-0100-00000B000000}" name="MP/Investor Name"/>
    <tableColumn id="5" xr3:uid="{00000000-0010-0000-0100-000005000000}" name="Total Cost"/>
    <tableColumn id="6" xr3:uid="{00000000-0010-0000-0100-000006000000}" name="Sold"/>
    <tableColumn id="12" xr3:uid="{00000000-0010-0000-0100-00000C000000}" name="Part Ex"/>
    <tableColumn id="17" xr3:uid="{00000000-0010-0000-0100-000011000000}" name="MP/Investor Profit Share"/>
    <tableColumn id="7" xr3:uid="{00000000-0010-0000-0100-000007000000}" name="Total Profit"/>
    <tableColumn id="14" xr3:uid="{00000000-0010-0000-0100-00000E000000}" name="Investor Profit"/>
    <tableColumn id="13" xr3:uid="{00000000-0010-0000-0100-00000D000000}" name="MP Profit"/>
    <tableColumn id="8" xr3:uid="{00000000-0010-0000-0100-000008000000}" name="Date Listed" dataDxfId="162"/>
    <tableColumn id="9" xr3:uid="{00000000-0010-0000-0100-000009000000}" name="Date Sold"/>
    <tableColumn id="10" xr3:uid="{00000000-0010-0000-0100-00000A000000}" name="Days to Sell"/>
    <tableColumn id="15" xr3:uid="{00000000-0010-0000-0100-00000F000000}" name="Platfrom" dataDxfId="16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B2:N295" totalsRowShown="0" headerRowDxfId="160" dataDxfId="158" headerRowBorderDxfId="159" tableBorderDxfId="157">
  <autoFilter ref="B2:N295" xr:uid="{00000000-0009-0000-0100-000003000000}">
    <filterColumn colId="0">
      <customFilters>
        <customFilter operator="notEqual" val=" "/>
      </customFilters>
    </filterColumn>
  </autoFilter>
  <tableColumns count="13">
    <tableColumn id="1" xr3:uid="{00000000-0010-0000-0200-000001000000}" name="Month" dataDxfId="156"/>
    <tableColumn id="2" xr3:uid="{00000000-0010-0000-0200-000002000000}" name="Date Aquired" dataDxfId="155"/>
    <tableColumn id="3" xr3:uid="{00000000-0010-0000-0200-000003000000}" name="Plate Number" dataDxfId="154"/>
    <tableColumn id="4" xr3:uid="{00000000-0010-0000-0200-000004000000}" name="Make &amp; Model" dataDxfId="153"/>
    <tableColumn id="14" xr3:uid="{00000000-0010-0000-0200-00000E000000}" name="Investor/MP" dataDxfId="152"/>
    <tableColumn id="5" xr3:uid="{00000000-0010-0000-0200-000005000000}" name="Source" dataDxfId="151"/>
    <tableColumn id="15" xr3:uid="{00000000-0010-0000-0200-00000F000000}" name="PX Value" dataDxfId="150"/>
    <tableColumn id="6" xr3:uid="{00000000-0010-0000-0200-000006000000}" name="Price" dataDxfId="149"/>
    <tableColumn id="7" xr3:uid="{00000000-0010-0000-0200-000007000000}" name="Reconditioning costs" dataDxfId="148"/>
    <tableColumn id="8" xr3:uid="{00000000-0010-0000-0200-000008000000}" name="Total Cost" dataDxfId="147"/>
    <tableColumn id="9" xr3:uid="{00000000-0010-0000-0200-000009000000}" name="Sold" dataDxfId="146"/>
    <tableColumn id="10" xr3:uid="{00000000-0010-0000-0200-00000A000000}" name="Profit" dataDxfId="145"/>
    <tableColumn id="13" xr3:uid="{00000000-0010-0000-0200-00000D000000}" name="Status" dataDxfId="14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9" displayName="Table19" ref="A1:G9" totalsRowShown="0" headerRowDxfId="143" headerRowBorderDxfId="142" tableBorderDxfId="141" totalsRowBorderDxfId="140">
  <autoFilter ref="A1:G9" xr:uid="{00000000-0009-0000-0100-000004000000}"/>
  <tableColumns count="7">
    <tableColumn id="1" xr3:uid="{00000000-0010-0000-0300-000001000000}" name="Investors" dataDxfId="139"/>
    <tableColumn id="8" xr3:uid="{00000000-0010-0000-0300-000008000000}" name="Initial Balance" dataDxfId="138"/>
    <tableColumn id="5" xr3:uid="{00000000-0010-0000-0300-000005000000}" name="Capital Returned"/>
    <tableColumn id="9" xr3:uid="{00000000-0010-0000-0300-000009000000}" name="Total Balance" dataDxfId="137">
      <calculatedColumnFormula>25933.9333333333 + 886.39</calculatedColumnFormula>
    </tableColumn>
    <tableColumn id="3" xr3:uid="{00000000-0010-0000-0300-000003000000}" name="Purchased" dataDxfId="136">
      <calculatedColumnFormula>SUM('Stock Data'!K227,'Stock Data'!K228,'Stock Data'!K235,'Stock Data'!K240)</calculatedColumnFormula>
    </tableColumn>
    <tableColumn id="6" xr3:uid="{00000000-0010-0000-0300-000006000000}" name="Total Profit (since Nov-25)" dataDxfId="135">
      <calculatedColumnFormula>'Sold Stock'!K60</calculatedColumnFormula>
    </tableColumn>
    <tableColumn id="4" xr3:uid="{00000000-0010-0000-0300-000004000000}" name="Available" dataDxfId="13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G16" totalsRowShown="0" headerRowDxfId="133" dataDxfId="131" headerRowBorderDxfId="132" tableBorderDxfId="130" totalsRowBorderDxfId="129">
  <autoFilter ref="A1:G16" xr:uid="{00000000-0009-0000-0100-000005000000}"/>
  <tableColumns count="7">
    <tableColumn id="1" xr3:uid="{00000000-0010-0000-0400-000001000000}" name="Month" dataDxfId="128"/>
    <tableColumn id="2" xr3:uid="{00000000-0010-0000-0400-000002000000}" name="Date Aquired" dataDxfId="127"/>
    <tableColumn id="3" xr3:uid="{00000000-0010-0000-0400-000003000000}" name="Number Plate reference" dataDxfId="126"/>
    <tableColumn id="4" xr3:uid="{00000000-0010-0000-0400-000004000000}" name="Make &amp; Model" dataDxfId="125"/>
    <tableColumn id="5" xr3:uid="{00000000-0010-0000-0400-000005000000}" name="Seller Name" dataDxfId="124"/>
    <tableColumn id="6" xr3:uid="{00000000-0010-0000-0400-000006000000}" name="Total Cost" dataDxfId="123"/>
    <tableColumn id="7" xr3:uid="{00000000-0010-0000-0400-000007000000}" name="Sale Price" dataDxfId="12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4" displayName="Table14" ref="A1:H306" totalsRowShown="0" headerRowDxfId="121" dataDxfId="119" headerRowBorderDxfId="120" tableBorderDxfId="118" totalsRowBorderDxfId="117">
  <autoFilter ref="A1:H306" xr:uid="{00000000-0009-0000-0100-000006000000}"/>
  <tableColumns count="8">
    <tableColumn id="1" xr3:uid="{00000000-0010-0000-0500-000001000000}" name="Month" dataDxfId="116"/>
    <tableColumn id="2" xr3:uid="{00000000-0010-0000-0500-000002000000}" name="Date" dataDxfId="115"/>
    <tableColumn id="3" xr3:uid="{00000000-0010-0000-0500-000003000000}" name="Category" dataDxfId="114"/>
    <tableColumn id="4" xr3:uid="{00000000-0010-0000-0500-000004000000}" name="From" dataDxfId="113"/>
    <tableColumn id="6" xr3:uid="{00000000-0010-0000-0500-000006000000}" name="Amount " dataDxfId="112"/>
    <tableColumn id="7" xr3:uid="{00000000-0010-0000-0500-000007000000}" name="Payment Method" dataDxfId="111"/>
    <tableColumn id="8" xr3:uid="{00000000-0010-0000-0500-000008000000}" name="Paid By" dataDxfId="110"/>
    <tableColumn id="9" xr3:uid="{00000000-0010-0000-0500-000009000000}" name="Notes" dataDxfId="10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5" displayName="Table15" ref="A1:E250" totalsRowShown="0" headerRowDxfId="108" headerRowBorderDxfId="107" tableBorderDxfId="106">
  <autoFilter ref="A1:E250" xr:uid="{00000000-0009-0000-0100-000007000000}"/>
  <tableColumns count="5">
    <tableColumn id="1" xr3:uid="{00000000-0010-0000-0600-000001000000}" name="Month"/>
    <tableColumn id="2" xr3:uid="{00000000-0010-0000-0600-000002000000}" name="Date" dataDxfId="105"/>
    <tableColumn id="4" xr3:uid="{00000000-0010-0000-0600-000004000000}" name="Car"/>
    <tableColumn id="5" xr3:uid="{00000000-0010-0000-0600-000005000000}" name="Amount "/>
    <tableColumn id="3" xr3:uid="{00000000-0010-0000-0600-000003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" displayName="Table2" ref="A1:F40" totalsRowShown="0" headerRowDxfId="104" headerRowBorderDxfId="103" tableBorderDxfId="102" totalsRowBorderDxfId="101">
  <autoFilter ref="A1:F40" xr:uid="{00000000-0009-0000-0100-000008000000}"/>
  <tableColumns count="6">
    <tableColumn id="1" xr3:uid="{00000000-0010-0000-0700-000001000000}" name="Month" dataDxfId="100"/>
    <tableColumn id="2" xr3:uid="{00000000-0010-0000-0700-000002000000}" name="Date" dataDxfId="99"/>
    <tableColumn id="3" xr3:uid="{00000000-0010-0000-0700-000003000000}" name="Category" dataDxfId="98"/>
    <tableColumn id="4" xr3:uid="{00000000-0010-0000-0700-000004000000}" name="Amount " dataDxfId="97"/>
    <tableColumn id="5" xr3:uid="{00000000-0010-0000-0700-000005000000}" name="Reg" dataDxfId="96"/>
    <tableColumn id="6" xr3:uid="{00000000-0010-0000-0700-000006000000}" name="Notes" dataDxfId="9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" displayName="Table1" ref="A1:E110" totalsRowShown="0" headerRowDxfId="94" dataDxfId="92" headerRowBorderDxfId="93" tableBorderDxfId="91" totalsRowBorderDxfId="90">
  <autoFilter ref="A1:E110" xr:uid="{00000000-0009-0000-0100-000009000000}"/>
  <tableColumns count="5">
    <tableColumn id="1" xr3:uid="{00000000-0010-0000-0800-000001000000}" name="Month" dataDxfId="89"/>
    <tableColumn id="2" xr3:uid="{00000000-0010-0000-0800-000002000000}" name="Date" dataDxfId="88"/>
    <tableColumn id="3" xr3:uid="{00000000-0010-0000-0800-000003000000}" name="Category" dataDxfId="87"/>
    <tableColumn id="4" xr3:uid="{00000000-0010-0000-0800-000004000000}" name="Amount " dataDxfId="86"/>
    <tableColumn id="5" xr3:uid="{00000000-0010-0000-0800-000005000000}" name="Notes" dataDxfId="8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  <pageSetUpPr fitToPage="1"/>
  </sheetPr>
  <dimension ref="A1:S25"/>
  <sheetViews>
    <sheetView tabSelected="1" zoomScale="80" zoomScaleNormal="91" workbookViewId="0">
      <selection activeCell="G28" sqref="G28"/>
    </sheetView>
  </sheetViews>
  <sheetFormatPr baseColWidth="10" defaultColWidth="8.5" defaultRowHeight="14.25" customHeight="1"/>
  <cols>
    <col min="1" max="1" width="10.6640625" style="247" bestFit="1" customWidth="1"/>
    <col min="2" max="2" width="15.33203125" style="247" customWidth="1"/>
    <col min="3" max="3" width="21" style="247" customWidth="1"/>
    <col min="4" max="4" width="24.6640625" style="247" customWidth="1"/>
    <col min="5" max="5" width="24" style="247" customWidth="1"/>
    <col min="6" max="7" width="28.1640625" style="247" customWidth="1"/>
    <col min="8" max="8" width="23.5" style="247" bestFit="1" customWidth="1"/>
    <col min="9" max="9" width="24.5" style="247" bestFit="1" customWidth="1"/>
    <col min="10" max="10" width="22.33203125" style="247" bestFit="1" customWidth="1"/>
    <col min="11" max="11" width="24.1640625" style="247" bestFit="1" customWidth="1"/>
    <col min="12" max="12" width="29" style="247" bestFit="1" customWidth="1"/>
    <col min="13" max="13" width="34.33203125" style="247" hidden="1" customWidth="1"/>
    <col min="14" max="14" width="16.33203125" style="247" hidden="1" customWidth="1"/>
    <col min="15" max="15" width="13" style="247" hidden="1" customWidth="1"/>
    <col min="16" max="16" width="8.5" style="247" customWidth="1"/>
    <col min="17" max="16384" width="8.5" style="247"/>
  </cols>
  <sheetData>
    <row r="1" spans="1:19" ht="14.25" customHeight="1">
      <c r="A1" s="434"/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</row>
    <row r="2" spans="1:19" ht="99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</row>
    <row r="3" spans="1:19" ht="38.25" customHeight="1">
      <c r="A3" s="74" t="s">
        <v>0</v>
      </c>
      <c r="B3" s="75" t="s">
        <v>1</v>
      </c>
      <c r="C3" s="75" t="s">
        <v>2</v>
      </c>
      <c r="D3" s="75" t="s">
        <v>3</v>
      </c>
      <c r="E3" s="318" t="s">
        <v>4</v>
      </c>
      <c r="F3" s="75" t="s">
        <v>5</v>
      </c>
      <c r="G3" s="75" t="s">
        <v>6</v>
      </c>
      <c r="H3" s="75" t="s">
        <v>7</v>
      </c>
      <c r="I3" s="318" t="s">
        <v>8</v>
      </c>
      <c r="J3" s="75" t="s">
        <v>9</v>
      </c>
      <c r="K3" s="75" t="s">
        <v>10</v>
      </c>
      <c r="L3" s="75" t="s">
        <v>11</v>
      </c>
      <c r="M3" s="75" t="s">
        <v>12</v>
      </c>
      <c r="N3" s="292" t="s">
        <v>13</v>
      </c>
    </row>
    <row r="4" spans="1:19" ht="41.5" customHeight="1">
      <c r="A4" s="248">
        <v>45839</v>
      </c>
      <c r="B4" s="76">
        <v>8</v>
      </c>
      <c r="C4" s="300">
        <f>SUM('Sold Stock'!G3:G10)</f>
        <v>25546</v>
      </c>
      <c r="D4" s="249">
        <f>'Sold Stock'!J12</f>
        <v>5851.79</v>
      </c>
      <c r="E4" s="249">
        <f>Expense!E29</f>
        <v>386.21000000000004</v>
      </c>
      <c r="F4" s="249"/>
      <c r="G4" s="249" t="s">
        <v>14</v>
      </c>
      <c r="H4" s="320"/>
      <c r="I4" s="319">
        <f>'Fuel Expense'!D9</f>
        <v>247.03</v>
      </c>
      <c r="J4" s="252">
        <v>0</v>
      </c>
      <c r="K4" s="252">
        <v>0</v>
      </c>
      <c r="L4" s="249"/>
      <c r="M4" s="251">
        <f t="shared" ref="M4:M9" si="0">SUM(L4,J4)-SUM(E4,I4)</f>
        <v>-633.24</v>
      </c>
      <c r="N4" s="289"/>
    </row>
    <row r="5" spans="1:19" ht="41.5" customHeight="1">
      <c r="A5" s="248">
        <v>45870</v>
      </c>
      <c r="B5" s="76">
        <v>6</v>
      </c>
      <c r="C5" s="249">
        <f>SUM('Sold Stock'!G14:G19)</f>
        <v>15595</v>
      </c>
      <c r="D5" s="249">
        <f>'Sold Stock'!J21</f>
        <v>464.20000000000095</v>
      </c>
      <c r="E5" s="249">
        <f>Expense!E50</f>
        <v>643.31000000000006</v>
      </c>
      <c r="F5" s="249"/>
      <c r="G5" s="249" t="s">
        <v>14</v>
      </c>
      <c r="H5" s="320"/>
      <c r="I5" s="319">
        <f>'Fuel Expense'!D20</f>
        <v>409.74</v>
      </c>
      <c r="J5" s="252">
        <v>0</v>
      </c>
      <c r="K5" s="252">
        <v>0</v>
      </c>
      <c r="L5" s="249"/>
      <c r="M5" s="251">
        <f t="shared" si="0"/>
        <v>-1053.0500000000002</v>
      </c>
      <c r="N5" s="250"/>
      <c r="S5" s="352"/>
    </row>
    <row r="6" spans="1:19" ht="41.5" customHeight="1">
      <c r="A6" s="248">
        <v>45901</v>
      </c>
      <c r="B6" s="76">
        <v>10</v>
      </c>
      <c r="C6" s="249">
        <f>SUM('Sold Stock'!G23:G32)</f>
        <v>35812</v>
      </c>
      <c r="D6" s="249">
        <f>'Sold Stock'!J34</f>
        <v>9866.7500000000018</v>
      </c>
      <c r="E6" s="249">
        <f>Expense!E76</f>
        <v>854.31000000000006</v>
      </c>
      <c r="F6" s="249"/>
      <c r="G6" s="249" t="s">
        <v>14</v>
      </c>
      <c r="H6" s="320"/>
      <c r="I6" s="319">
        <f>'Fuel Expense'!D31</f>
        <v>435.00999999999993</v>
      </c>
      <c r="J6" s="252">
        <v>0</v>
      </c>
      <c r="K6" s="252">
        <v>0</v>
      </c>
      <c r="L6" s="249"/>
      <c r="M6" s="251">
        <f t="shared" si="0"/>
        <v>-1289.32</v>
      </c>
      <c r="N6" s="289"/>
    </row>
    <row r="7" spans="1:19" ht="41.5" customHeight="1">
      <c r="A7" s="248">
        <v>45931</v>
      </c>
      <c r="B7" s="77">
        <v>7</v>
      </c>
      <c r="C7" s="249">
        <f>SUM('Sold Stock'!G36:G43)</f>
        <v>26735</v>
      </c>
      <c r="D7" s="250">
        <f>'Sold Stock'!J45</f>
        <v>10118.099999999999</v>
      </c>
      <c r="E7" s="250">
        <f>Expense!E107</f>
        <v>3132.2899999999991</v>
      </c>
      <c r="F7" s="250"/>
      <c r="G7" s="249" t="s">
        <v>14</v>
      </c>
      <c r="H7" s="321"/>
      <c r="I7" s="319">
        <f>'Fuel Expense'!D39</f>
        <v>370.49999999999994</v>
      </c>
      <c r="J7" s="252">
        <v>0</v>
      </c>
      <c r="K7" s="252">
        <v>0</v>
      </c>
      <c r="L7" s="249"/>
      <c r="M7" s="251">
        <f t="shared" si="0"/>
        <v>-3502.7899999999991</v>
      </c>
      <c r="N7" s="291" t="s">
        <v>15</v>
      </c>
    </row>
    <row r="8" spans="1:19" ht="41.5" customHeight="1">
      <c r="A8" s="248">
        <v>45962</v>
      </c>
      <c r="B8" s="130">
        <v>15</v>
      </c>
      <c r="C8" s="249">
        <f>SUM('Sold Stock'!G47:G58)</f>
        <v>66552.27</v>
      </c>
      <c r="D8" s="250">
        <f>'Sold Stock'!J63+Table11[[#This Row],[Other Money In]]</f>
        <v>19302.64</v>
      </c>
      <c r="E8" s="250">
        <f>Expense!E140</f>
        <v>4356.5</v>
      </c>
      <c r="F8" s="250">
        <f>'Sold Stock'!L63+Table11[[#This Row],[Other Money In]]</f>
        <v>11542.482</v>
      </c>
      <c r="G8" s="250">
        <f>SUM('Sold Stock'!K63)</f>
        <v>8539.4629999999997</v>
      </c>
      <c r="H8" s="321"/>
      <c r="I8" s="319">
        <f>'Fuel Expense'!D49</f>
        <v>422.77</v>
      </c>
      <c r="J8" s="250">
        <f>'Money in'!D2</f>
        <v>200</v>
      </c>
      <c r="K8" s="252">
        <f>'Money Out'!D4</f>
        <v>500</v>
      </c>
      <c r="L8" s="250">
        <f>Table11[[#This Row],[Total MP Gross Profit]]-SUM(Table11[[#This Row],[Other Money Out]],Table11[[#This Row],[Company Fuel Costs]],Table11[[#This Row],[Investor Expense]],Table11[[#This Row],[Company Expenses]])</f>
        <v>6263.2119999999995</v>
      </c>
      <c r="M8" s="251">
        <f t="shared" si="0"/>
        <v>1683.9419999999991</v>
      </c>
      <c r="N8" s="291" t="s">
        <v>16</v>
      </c>
      <c r="O8" s="289" t="s">
        <v>17</v>
      </c>
    </row>
    <row r="9" spans="1:19" ht="41.5" customHeight="1">
      <c r="A9" s="248">
        <v>45992</v>
      </c>
      <c r="B9" s="130">
        <v>12</v>
      </c>
      <c r="C9" s="250">
        <f>SUM('Sold Stock'!G65:G76)</f>
        <v>71334</v>
      </c>
      <c r="D9" s="250">
        <f>'Sold Stock'!J78+Table11[[#This Row],[Other Money In]]</f>
        <v>24070.856666666667</v>
      </c>
      <c r="E9" s="250">
        <f>Expense!E184</f>
        <v>7881.75</v>
      </c>
      <c r="F9" s="250">
        <f>'Sold Stock'!L78+Table11[[#This Row],[Other Money In]]</f>
        <v>17194.304666666667</v>
      </c>
      <c r="G9" s="250">
        <f>SUM('Sold Stock'!K78)</f>
        <v>6544.5420000000004</v>
      </c>
      <c r="H9" s="321"/>
      <c r="I9" s="319">
        <f>'Fuel Expense'!D57</f>
        <v>331.24</v>
      </c>
      <c r="J9" s="250">
        <f>'Money in'!D10</f>
        <v>663.28</v>
      </c>
      <c r="K9" s="250">
        <v>0</v>
      </c>
      <c r="L9" s="250">
        <f>Table11[[#This Row],[Total MP Gross Profit]]-SUM(Table11[[#This Row],[Other Money Out]],Table11[[#This Row],[Company Fuel Costs]],Table11[[#This Row],[Investor Expense]],Table11[[#This Row],[Company Expenses]])</f>
        <v>8981.3146666666671</v>
      </c>
      <c r="M9" s="251">
        <f t="shared" si="0"/>
        <v>1431.604666666668</v>
      </c>
      <c r="N9" s="250"/>
    </row>
    <row r="10" spans="1:19" ht="41.5" customHeight="1">
      <c r="A10" s="248">
        <v>46023</v>
      </c>
      <c r="B10" s="77" t="s">
        <v>18</v>
      </c>
      <c r="C10" s="301">
        <f>SUM('Sold Stock'!G80:G89)</f>
        <v>70813.279999999999</v>
      </c>
      <c r="D10" s="250">
        <f>'Sold Stock'!J91+Table11[[#This Row],[Other Money In]]</f>
        <v>20397.816666666662</v>
      </c>
      <c r="E10" s="250">
        <f>Expense!E211</f>
        <v>6002.8600000000006</v>
      </c>
      <c r="F10" s="250">
        <f>'Sold Stock'!L91+Table11[[#This Row],[Other Money In]]</f>
        <v>15012.593333333334</v>
      </c>
      <c r="G10" s="250">
        <f>SUM('Sold Stock'!K91)</f>
        <v>5945.7433333333338</v>
      </c>
      <c r="H10" s="321">
        <f>'Investor Car Expense'!D8</f>
        <v>370</v>
      </c>
      <c r="I10" s="319">
        <f>'Fuel Expense'!D72</f>
        <v>473.86</v>
      </c>
      <c r="J10" s="250">
        <f>'Money in'!D15</f>
        <v>250</v>
      </c>
      <c r="K10" s="250">
        <f>'Money Out'!D9</f>
        <v>2214.7399999999998</v>
      </c>
      <c r="L10" s="250">
        <f>Table11[[#This Row],[Total MP Gross Profit]]-SUM(Table11[[#This Row],[Other Money Out]],Table11[[#This Row],[Company Fuel Costs]],Table11[[#This Row],[Investor Expense]],Table11[[#This Row],[Company Expenses]])</f>
        <v>5951.1333333333332</v>
      </c>
      <c r="M10" s="251">
        <f>SUM(L10,J10)-SUM(Table11[[#This Row],[Other Money Out]],E10,I10,Table11[[#This Row],[Investor Expense]])</f>
        <v>-2860.3266666666677</v>
      </c>
      <c r="N10" s="289" t="s">
        <v>19</v>
      </c>
    </row>
    <row r="11" spans="1:19" ht="41.5" customHeight="1">
      <c r="A11" s="248">
        <v>46054</v>
      </c>
      <c r="B11" s="77" t="s">
        <v>18</v>
      </c>
      <c r="C11" s="301">
        <f>SUM('Sold Stock'!G92:G104)</f>
        <v>62249.29</v>
      </c>
      <c r="D11" s="250">
        <f>'Sold Stock'!J104+Table11[[#This Row],[Other Money In]]</f>
        <v>16553.538333333334</v>
      </c>
      <c r="E11" s="250">
        <f>Expense!E243</f>
        <v>6323.7699999999986</v>
      </c>
      <c r="F11" s="250">
        <f>'Sold Stock'!L104+Table11[[#This Row],[Other Money In]]</f>
        <v>8941.5089166666676</v>
      </c>
      <c r="G11" s="252">
        <f>SUM('Sold Stock'!K104)</f>
        <v>5339.7994166666658</v>
      </c>
      <c r="H11" s="321">
        <f>'Investor Car Expense'!D25</f>
        <v>837.85</v>
      </c>
      <c r="I11" s="319">
        <f>'Fuel Expense'!D86</f>
        <v>564.93999999999994</v>
      </c>
      <c r="J11" s="250">
        <f>'Money in'!D24</f>
        <v>1580.95</v>
      </c>
      <c r="K11" s="252">
        <v>0</v>
      </c>
      <c r="L11" s="250">
        <f>Table11[[#This Row],[Total MP Gross Profit]]-SUM(Table11[[#This Row],[Other Money Out]],Table11[[#This Row],[Company Fuel Costs]],Table11[[#This Row],[Investor Expense]],Table11[[#This Row],[Company Expenses]])</f>
        <v>1214.948916666669</v>
      </c>
      <c r="M11" s="251">
        <f>SUM(L11,J11)-SUM(Table11[[#This Row],[Other Money Out]],E11,I11,Table11[[#This Row],[Investor Expense]])</f>
        <v>-4930.6610833333298</v>
      </c>
      <c r="N11" s="291" t="s">
        <v>20</v>
      </c>
    </row>
    <row r="12" spans="1:19" ht="41.5" customHeight="1">
      <c r="A12" s="248">
        <v>46082</v>
      </c>
      <c r="B12" s="77" t="s">
        <v>21</v>
      </c>
      <c r="C12" s="301">
        <f>SUM('Sold Stock'!G106:G125)</f>
        <v>127336.98999999999</v>
      </c>
      <c r="D12" s="250">
        <f>'Sold Stock'!J122+Table11[[#This Row],[Other Money In]]</f>
        <v>28777.35</v>
      </c>
      <c r="E12" s="250">
        <f>Expense!E265</f>
        <v>6068.5999999999995</v>
      </c>
      <c r="F12" s="250">
        <f>'Sold Stock'!L122+Table11[[#This Row],[Other Money In]]</f>
        <v>19683.258000000002</v>
      </c>
      <c r="G12" s="250">
        <f>'Sold Stock'!K122</f>
        <v>9166.0720000000001</v>
      </c>
      <c r="H12" s="321">
        <f>'Investor Car Expense'!D38</f>
        <v>673.23</v>
      </c>
      <c r="I12" s="319">
        <f>'Fuel Expense'!D99</f>
        <v>546.41000000000008</v>
      </c>
      <c r="J12" s="250">
        <f>'Money in'!D30</f>
        <v>297</v>
      </c>
      <c r="K12" s="252">
        <v>2000</v>
      </c>
      <c r="L12" s="250">
        <f>Table11[[#This Row],[Total MP Gross Profit]]-SUM(Table11[[#This Row],[Other Money Out]],Table11[[#This Row],[Company Fuel Costs]],Table11[[#This Row],[Investor Expense]],Table11[[#This Row],[Company Expenses]])</f>
        <v>10395.018000000002</v>
      </c>
      <c r="M12" s="251">
        <f>SUM(L12,J12)-SUM(Table11[[#This Row],[Other Money Out]],E12,I12,Table11[[#This Row],[Investor Expense]])</f>
        <v>1403.7780000000021</v>
      </c>
      <c r="N12" s="250"/>
    </row>
    <row r="13" spans="1:19" ht="41.5" customHeight="1">
      <c r="A13" s="248">
        <v>46113</v>
      </c>
      <c r="B13" s="77" t="s">
        <v>22</v>
      </c>
      <c r="C13" s="301">
        <f>SUM('Sold Stock'!G124:G139)</f>
        <v>58311</v>
      </c>
      <c r="D13" s="250">
        <f>'Sold Stock'!J140+Table11[[#This Row],[Other Money In]]</f>
        <v>22477.875</v>
      </c>
      <c r="E13" s="250">
        <f>Expense!E295</f>
        <v>2947.86</v>
      </c>
      <c r="F13" s="250">
        <f>'Sold Stock'!L140+Table11[[#This Row],[Other Money In]]</f>
        <v>19879.65525</v>
      </c>
      <c r="G13" s="250">
        <f>'Sold Stock'!K140</f>
        <v>2598.2197500000002</v>
      </c>
      <c r="H13" s="321">
        <f>'Investor Car Expense'!D56</f>
        <v>58.6</v>
      </c>
      <c r="I13" s="319">
        <f>'Fuel Expense'!D111</f>
        <v>97.79</v>
      </c>
      <c r="J13" s="250">
        <f>'Money in'!D36</f>
        <v>179</v>
      </c>
      <c r="K13" s="252">
        <v>0</v>
      </c>
      <c r="L13" s="250">
        <f>Table11[[#This Row],[Total MP Gross Profit]]-SUM(Table11[[#This Row],[Other Money Out]],Table11[[#This Row],[Company Fuel Costs]],Table11[[#This Row],[Investor Expense]],Table11[[#This Row],[Company Expenses]])</f>
        <v>16775.40525</v>
      </c>
      <c r="M13" s="251">
        <f>SUM(L13,J13)-SUM(Table11[[#This Row],[Other Money Out]],E13,I13,Table11[[#This Row],[Investor Expense]])</f>
        <v>13850.15525</v>
      </c>
      <c r="N13" s="289"/>
    </row>
    <row r="14" spans="1:19" ht="41.5" customHeight="1">
      <c r="A14" s="248">
        <v>46143</v>
      </c>
      <c r="B14" s="77"/>
      <c r="C14" s="249"/>
      <c r="D14" s="253"/>
      <c r="E14" s="250"/>
      <c r="F14" s="250"/>
      <c r="G14" s="250"/>
      <c r="H14" s="321"/>
      <c r="I14" s="319"/>
      <c r="J14" s="250"/>
      <c r="K14" s="250"/>
      <c r="L14" s="250"/>
      <c r="M14" s="251"/>
      <c r="N14" s="289"/>
    </row>
    <row r="15" spans="1:19" ht="41.5" customHeight="1">
      <c r="A15" s="248">
        <v>46174</v>
      </c>
      <c r="B15" s="77"/>
      <c r="C15" s="249"/>
      <c r="D15" s="328"/>
      <c r="E15" s="250"/>
      <c r="F15" s="250"/>
      <c r="G15" s="252"/>
      <c r="H15" s="321"/>
      <c r="I15" s="319"/>
      <c r="J15" s="250"/>
      <c r="K15" s="252"/>
      <c r="L15" s="250"/>
      <c r="M15" s="251"/>
      <c r="N15" s="289"/>
    </row>
    <row r="16" spans="1:19" ht="41.5" customHeight="1">
      <c r="A16" s="248">
        <v>46204</v>
      </c>
      <c r="B16" s="77"/>
      <c r="C16" s="249"/>
      <c r="D16" s="253"/>
      <c r="E16" s="250"/>
      <c r="F16" s="250"/>
      <c r="G16" s="252"/>
      <c r="H16" s="321"/>
      <c r="I16" s="319"/>
      <c r="J16" s="250"/>
      <c r="K16" s="252"/>
      <c r="L16" s="250"/>
      <c r="M16" s="251"/>
      <c r="N16" s="289"/>
    </row>
    <row r="17" spans="1:14" ht="41.5" hidden="1" customHeight="1">
      <c r="A17" s="248">
        <v>46235</v>
      </c>
      <c r="B17" s="77"/>
      <c r="C17" s="249"/>
      <c r="D17" s="253"/>
      <c r="E17" s="250"/>
      <c r="F17" s="250"/>
      <c r="G17" s="252"/>
      <c r="H17" s="321"/>
      <c r="I17" s="319"/>
      <c r="J17" s="250"/>
      <c r="K17" s="252"/>
      <c r="L17" s="250"/>
      <c r="M17" s="251"/>
      <c r="N17" s="289"/>
    </row>
    <row r="18" spans="1:14" ht="41.5" hidden="1" customHeight="1">
      <c r="A18" s="248">
        <v>46266</v>
      </c>
      <c r="B18" s="77"/>
      <c r="C18" s="250"/>
      <c r="D18" s="253"/>
      <c r="E18" s="250"/>
      <c r="F18" s="250"/>
      <c r="G18" s="252"/>
      <c r="H18" s="321"/>
      <c r="I18" s="319"/>
      <c r="J18" s="250"/>
      <c r="K18" s="252"/>
      <c r="L18" s="250"/>
      <c r="M18" s="251"/>
      <c r="N18" s="289"/>
    </row>
    <row r="19" spans="1:14" ht="41.5" hidden="1" customHeight="1">
      <c r="A19" s="254">
        <v>46296</v>
      </c>
      <c r="B19" s="344"/>
      <c r="C19" s="301"/>
      <c r="D19" s="252"/>
      <c r="E19" s="252"/>
      <c r="F19" s="252"/>
      <c r="G19" s="252"/>
      <c r="H19" s="322"/>
      <c r="I19" s="326"/>
      <c r="J19" s="252"/>
      <c r="K19" s="252"/>
      <c r="L19" s="252"/>
      <c r="M19" s="302"/>
      <c r="N19" s="289"/>
    </row>
    <row r="20" spans="1:14" ht="29.25" customHeight="1">
      <c r="A20" s="323" t="s">
        <v>23</v>
      </c>
      <c r="B20" s="324">
        <f>SUM(B4:B19)</f>
        <v>58</v>
      </c>
      <c r="C20" s="325">
        <f>SUM(C4:C19)</f>
        <v>560284.83000000007</v>
      </c>
      <c r="D20" s="325">
        <f>SUM(D4:D19)</f>
        <v>157880.91666666666</v>
      </c>
      <c r="E20" s="325">
        <f>SUM(E4:E19)</f>
        <v>38597.46</v>
      </c>
      <c r="F20" s="325">
        <f>SUM(F4:F19)</f>
        <v>92253.802166666675</v>
      </c>
      <c r="G20" s="325">
        <f>SUM(G8:G12)</f>
        <v>35535.619749999998</v>
      </c>
      <c r="H20" s="325">
        <f t="shared" ref="H20:M20" si="1">SUM(H4:H19)</f>
        <v>1939.6799999999998</v>
      </c>
      <c r="I20" s="319">
        <f t="shared" si="1"/>
        <v>3899.29</v>
      </c>
      <c r="J20" s="256">
        <f t="shared" si="1"/>
        <v>3170.23</v>
      </c>
      <c r="K20" s="256">
        <f t="shared" si="1"/>
        <v>4714.74</v>
      </c>
      <c r="L20" s="256">
        <f t="shared" si="1"/>
        <v>49581.032166666671</v>
      </c>
      <c r="M20" s="290">
        <f t="shared" si="1"/>
        <v>4100.0921666666727</v>
      </c>
      <c r="N20" s="289"/>
    </row>
    <row r="21" spans="1:14" ht="15"/>
    <row r="22" spans="1:14" ht="15"/>
    <row r="23" spans="1:14" ht="15"/>
    <row r="24" spans="1:14" ht="15"/>
    <row r="25" spans="1:14" ht="15" customHeight="1">
      <c r="G25" s="255"/>
      <c r="H25" s="255"/>
    </row>
  </sheetData>
  <mergeCells count="1">
    <mergeCell ref="A1:L2"/>
  </mergeCells>
  <pageMargins left="0.25" right="0.25" top="0.75" bottom="0.75" header="0.3" footer="0.3"/>
  <pageSetup paperSize="28" fitToHeight="0"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V175"/>
  <sheetViews>
    <sheetView zoomScale="114" zoomScaleNormal="55" workbookViewId="0">
      <selection activeCell="L93" sqref="L93"/>
    </sheetView>
  </sheetViews>
  <sheetFormatPr baseColWidth="10" defaultColWidth="14.5" defaultRowHeight="15" customHeight="1"/>
  <cols>
    <col min="1" max="4" width="14.5" customWidth="1"/>
    <col min="5" max="5" width="16.1640625" customWidth="1"/>
    <col min="6" max="7" width="14.5" customWidth="1"/>
    <col min="8" max="8" width="20.5" customWidth="1"/>
    <col min="9" max="9" width="14.5" style="150" customWidth="1"/>
    <col min="10" max="10" width="23.1640625" customWidth="1"/>
    <col min="11" max="11" width="18.83203125" customWidth="1"/>
    <col min="12" max="12" width="16.1640625" customWidth="1"/>
    <col min="13" max="13" width="19.1640625" customWidth="1"/>
    <col min="14" max="14" width="19.6640625" customWidth="1"/>
    <col min="15" max="16" width="24.5" customWidth="1"/>
    <col min="17" max="18" width="14.5" customWidth="1"/>
  </cols>
  <sheetData>
    <row r="1" spans="1:22">
      <c r="A1" s="2"/>
      <c r="B1" s="2"/>
      <c r="C1" s="2"/>
      <c r="D1" s="2"/>
      <c r="E1" s="2"/>
      <c r="F1" s="2"/>
      <c r="N1" s="2"/>
    </row>
    <row r="2" spans="1:22" ht="30.75" customHeight="1">
      <c r="A2" s="40" t="s">
        <v>0</v>
      </c>
      <c r="B2" s="40" t="s">
        <v>24</v>
      </c>
      <c r="C2" s="41" t="s">
        <v>25</v>
      </c>
      <c r="D2" s="40" t="s">
        <v>26</v>
      </c>
      <c r="E2" s="40" t="s">
        <v>27</v>
      </c>
      <c r="F2" s="40" t="s">
        <v>28</v>
      </c>
      <c r="G2" s="42" t="s">
        <v>29</v>
      </c>
      <c r="H2" s="42" t="s">
        <v>30</v>
      </c>
      <c r="I2" s="42" t="s">
        <v>31</v>
      </c>
      <c r="J2" s="42" t="s">
        <v>32</v>
      </c>
      <c r="K2" s="42" t="s">
        <v>33</v>
      </c>
      <c r="L2" s="42" t="s">
        <v>34</v>
      </c>
      <c r="M2" s="40" t="s">
        <v>35</v>
      </c>
      <c r="N2" s="40" t="s">
        <v>36</v>
      </c>
      <c r="O2" s="43" t="s">
        <v>37</v>
      </c>
      <c r="P2" s="43" t="s">
        <v>38</v>
      </c>
      <c r="R2" s="40" t="s">
        <v>39</v>
      </c>
      <c r="S2" s="44" t="s">
        <v>40</v>
      </c>
      <c r="T2" s="44" t="s">
        <v>41</v>
      </c>
      <c r="U2" s="44" t="s">
        <v>42</v>
      </c>
      <c r="V2" s="43" t="s">
        <v>43</v>
      </c>
    </row>
    <row r="3" spans="1:22" ht="26.5" customHeight="1">
      <c r="A3" s="80">
        <v>45839</v>
      </c>
      <c r="B3" s="173">
        <v>45804</v>
      </c>
      <c r="C3" s="12" t="s">
        <v>44</v>
      </c>
      <c r="D3" s="12" t="s">
        <v>45</v>
      </c>
      <c r="E3" s="12"/>
      <c r="F3" s="8">
        <v>1684.85</v>
      </c>
      <c r="G3" s="8">
        <v>2900</v>
      </c>
      <c r="H3" s="8"/>
      <c r="I3" s="8"/>
      <c r="J3" s="8">
        <v>1215.1500000000001</v>
      </c>
      <c r="K3" s="8"/>
      <c r="L3" s="8"/>
      <c r="M3" s="8"/>
      <c r="N3" s="6">
        <v>45846</v>
      </c>
      <c r="O3" s="52"/>
      <c r="P3" s="52"/>
      <c r="R3" s="17"/>
      <c r="S3" s="34"/>
      <c r="T3" s="34"/>
      <c r="U3" s="34"/>
      <c r="V3" s="52"/>
    </row>
    <row r="4" spans="1:22" ht="26.5" customHeight="1">
      <c r="A4" s="80">
        <v>45839</v>
      </c>
      <c r="B4" s="173">
        <v>45813</v>
      </c>
      <c r="C4" s="12" t="s">
        <v>46</v>
      </c>
      <c r="D4" s="12" t="s">
        <v>47</v>
      </c>
      <c r="E4" s="12"/>
      <c r="F4" s="8">
        <v>2165.42</v>
      </c>
      <c r="G4" s="8">
        <v>2995</v>
      </c>
      <c r="H4" s="8"/>
      <c r="I4" s="8"/>
      <c r="J4" s="8">
        <v>829.58</v>
      </c>
      <c r="K4" s="8"/>
      <c r="L4" s="8"/>
      <c r="M4" s="8"/>
      <c r="N4" s="6">
        <v>45865</v>
      </c>
      <c r="O4" s="7"/>
      <c r="P4" s="7"/>
      <c r="R4" s="17"/>
      <c r="S4" s="34"/>
      <c r="T4" s="34"/>
      <c r="U4" s="34"/>
      <c r="V4" s="7"/>
    </row>
    <row r="5" spans="1:22" ht="26.5" customHeight="1">
      <c r="A5" s="80">
        <v>45839</v>
      </c>
      <c r="B5" s="173">
        <v>45815</v>
      </c>
      <c r="C5" s="12" t="s">
        <v>48</v>
      </c>
      <c r="D5" s="12" t="s">
        <v>49</v>
      </c>
      <c r="E5" s="12"/>
      <c r="F5" s="8">
        <v>2160.7399999999998</v>
      </c>
      <c r="G5" s="8">
        <v>3376</v>
      </c>
      <c r="H5" s="8"/>
      <c r="I5" s="8"/>
      <c r="J5" s="8">
        <v>1215.26</v>
      </c>
      <c r="K5" s="8"/>
      <c r="L5" s="8"/>
      <c r="M5" s="8"/>
      <c r="N5" s="6">
        <v>45859</v>
      </c>
      <c r="O5" s="7"/>
      <c r="P5" s="7"/>
      <c r="R5" s="17"/>
      <c r="S5" s="34"/>
      <c r="T5" s="34"/>
      <c r="U5" s="34"/>
      <c r="V5" s="7"/>
    </row>
    <row r="6" spans="1:22" ht="26.5" customHeight="1">
      <c r="A6" s="80">
        <v>45839</v>
      </c>
      <c r="B6" s="173">
        <v>45843</v>
      </c>
      <c r="C6" s="12" t="s">
        <v>50</v>
      </c>
      <c r="D6" s="12" t="s">
        <v>51</v>
      </c>
      <c r="E6" s="12"/>
      <c r="F6" s="8">
        <v>1992.81</v>
      </c>
      <c r="G6" s="8">
        <v>2300</v>
      </c>
      <c r="H6" s="8"/>
      <c r="I6" s="8"/>
      <c r="J6" s="8">
        <v>307.19</v>
      </c>
      <c r="K6" s="8"/>
      <c r="L6" s="8"/>
      <c r="M6" s="8"/>
      <c r="N6" s="6">
        <v>45856</v>
      </c>
      <c r="O6" s="7"/>
      <c r="P6" s="7"/>
      <c r="R6" s="17"/>
      <c r="S6" s="34"/>
      <c r="T6" s="34"/>
      <c r="U6" s="34"/>
      <c r="V6" s="7"/>
    </row>
    <row r="7" spans="1:22" ht="26.5" customHeight="1">
      <c r="A7" s="80">
        <v>45839</v>
      </c>
      <c r="B7" s="173">
        <v>45846</v>
      </c>
      <c r="C7" s="12" t="s">
        <v>52</v>
      </c>
      <c r="D7" s="12" t="s">
        <v>53</v>
      </c>
      <c r="E7" s="12"/>
      <c r="F7" s="8">
        <v>2736.32</v>
      </c>
      <c r="G7" s="8">
        <v>2900</v>
      </c>
      <c r="H7" s="8"/>
      <c r="I7" s="8"/>
      <c r="J7" s="8">
        <v>163.68</v>
      </c>
      <c r="K7" s="8"/>
      <c r="L7" s="8"/>
      <c r="M7" s="8"/>
      <c r="N7" s="6">
        <v>45846</v>
      </c>
      <c r="O7" s="7"/>
      <c r="P7" s="7"/>
      <c r="R7" s="17"/>
      <c r="S7" s="34"/>
      <c r="T7" s="34"/>
      <c r="U7" s="34"/>
      <c r="V7" s="7"/>
    </row>
    <row r="8" spans="1:22" ht="26.5" customHeight="1">
      <c r="A8" s="80">
        <v>45839</v>
      </c>
      <c r="B8" s="173">
        <v>45847</v>
      </c>
      <c r="C8" s="12" t="s">
        <v>54</v>
      </c>
      <c r="D8" s="12" t="s">
        <v>55</v>
      </c>
      <c r="E8" s="12"/>
      <c r="F8" s="8">
        <v>634.46</v>
      </c>
      <c r="G8" s="8">
        <v>1775</v>
      </c>
      <c r="H8" s="8"/>
      <c r="I8" s="8"/>
      <c r="J8" s="8">
        <v>1140.54</v>
      </c>
      <c r="K8" s="8"/>
      <c r="L8" s="8"/>
      <c r="M8" s="8"/>
      <c r="N8" s="6">
        <v>45859</v>
      </c>
      <c r="O8" s="7"/>
      <c r="P8" s="7"/>
      <c r="R8" s="17"/>
      <c r="S8" s="34"/>
      <c r="T8" s="34"/>
      <c r="U8" s="34"/>
      <c r="V8" s="7"/>
    </row>
    <row r="9" spans="1:22" ht="26.5" customHeight="1">
      <c r="A9" s="80">
        <v>45839</v>
      </c>
      <c r="B9" s="173">
        <v>45855</v>
      </c>
      <c r="C9" s="12" t="s">
        <v>56</v>
      </c>
      <c r="D9" s="12" t="s">
        <v>57</v>
      </c>
      <c r="E9" s="12"/>
      <c r="F9" s="8">
        <v>6105.41</v>
      </c>
      <c r="G9" s="8">
        <v>6400</v>
      </c>
      <c r="H9" s="8"/>
      <c r="I9" s="8"/>
      <c r="J9" s="8">
        <v>294.59000000000009</v>
      </c>
      <c r="K9" s="8"/>
      <c r="L9" s="8"/>
      <c r="M9" s="8"/>
      <c r="N9" s="6">
        <v>45856</v>
      </c>
      <c r="O9" s="7"/>
      <c r="P9" s="7"/>
      <c r="R9" s="17"/>
      <c r="S9" s="34"/>
      <c r="T9" s="34"/>
      <c r="U9" s="34"/>
      <c r="V9" s="7"/>
    </row>
    <row r="10" spans="1:22" ht="26.5" customHeight="1">
      <c r="A10" s="80">
        <v>45839</v>
      </c>
      <c r="B10" s="173">
        <v>45858</v>
      </c>
      <c r="C10" s="12" t="s">
        <v>58</v>
      </c>
      <c r="D10" s="12" t="s">
        <v>59</v>
      </c>
      <c r="E10" s="12"/>
      <c r="F10" s="8">
        <v>2214.1999999999998</v>
      </c>
      <c r="G10" s="8">
        <v>2900</v>
      </c>
      <c r="H10" s="8"/>
      <c r="I10" s="8"/>
      <c r="J10" s="8">
        <v>685.80000000000018</v>
      </c>
      <c r="K10" s="8"/>
      <c r="L10" s="8"/>
      <c r="M10" s="8"/>
      <c r="N10" s="6">
        <v>45858</v>
      </c>
      <c r="O10" s="7"/>
      <c r="P10" s="7"/>
      <c r="R10" s="17"/>
      <c r="S10" s="34"/>
      <c r="T10" s="34"/>
      <c r="U10" s="34"/>
      <c r="V10" s="7"/>
    </row>
    <row r="11" spans="1:22" ht="26.5" customHeight="1">
      <c r="A11" s="80">
        <v>45839</v>
      </c>
      <c r="B11" s="6"/>
      <c r="C11" s="12"/>
      <c r="D11" s="12"/>
      <c r="E11" s="12"/>
      <c r="F11" s="8"/>
      <c r="G11" s="8"/>
      <c r="H11" s="8"/>
      <c r="I11" s="8"/>
      <c r="J11" s="8"/>
      <c r="K11" s="8"/>
      <c r="L11" s="8"/>
      <c r="M11" s="8"/>
      <c r="N11" s="6"/>
      <c r="O11" s="7"/>
      <c r="P11" s="7"/>
      <c r="R11" s="17"/>
      <c r="S11" s="34"/>
      <c r="T11" s="34"/>
      <c r="U11" s="34"/>
      <c r="V11" s="7"/>
    </row>
    <row r="12" spans="1:22" ht="26.5" customHeight="1">
      <c r="A12" s="80">
        <v>45839</v>
      </c>
      <c r="B12" s="6"/>
      <c r="C12" s="12"/>
      <c r="D12" s="12"/>
      <c r="E12" s="12"/>
      <c r="F12" s="8"/>
      <c r="G12" s="8"/>
      <c r="H12" s="8"/>
      <c r="I12" s="72" t="s">
        <v>32</v>
      </c>
      <c r="J12" s="73">
        <f>SUM(J3:J10)</f>
        <v>5851.79</v>
      </c>
      <c r="K12" s="73"/>
      <c r="L12" s="73"/>
      <c r="M12" s="8"/>
      <c r="N12" s="6"/>
      <c r="O12" s="7"/>
      <c r="P12" s="7"/>
      <c r="R12" s="17"/>
      <c r="S12" s="34"/>
      <c r="T12" s="34"/>
      <c r="U12" s="34"/>
      <c r="V12" s="7"/>
    </row>
    <row r="13" spans="1:22" ht="24" customHeight="1">
      <c r="A13" s="145">
        <v>45839</v>
      </c>
      <c r="B13" s="21"/>
      <c r="C13" s="22"/>
      <c r="D13" s="22"/>
      <c r="E13" s="22"/>
      <c r="F13" s="23"/>
      <c r="G13" s="24"/>
      <c r="H13" s="24"/>
      <c r="I13" s="24"/>
      <c r="J13" s="33"/>
      <c r="K13" s="33"/>
      <c r="L13" s="33"/>
      <c r="M13" s="24"/>
      <c r="N13" s="25"/>
      <c r="O13" s="25"/>
      <c r="P13" s="25"/>
      <c r="R13" s="6"/>
      <c r="S13" s="34"/>
      <c r="T13" s="34"/>
      <c r="U13" s="34"/>
      <c r="V13" s="9"/>
    </row>
    <row r="14" spans="1:22" ht="25" customHeight="1">
      <c r="A14" s="80">
        <v>45870</v>
      </c>
      <c r="B14" s="175">
        <v>45798</v>
      </c>
      <c r="C14" s="59" t="s">
        <v>60</v>
      </c>
      <c r="D14" s="18" t="s">
        <v>61</v>
      </c>
      <c r="E14" s="18"/>
      <c r="F14" s="20">
        <v>3108.7</v>
      </c>
      <c r="G14" s="20">
        <v>1450</v>
      </c>
      <c r="H14" s="20"/>
      <c r="I14" s="20"/>
      <c r="J14" s="15">
        <f t="shared" ref="J14:J19" si="0">G14-F14</f>
        <v>-1658.6999999999998</v>
      </c>
      <c r="K14" s="15"/>
      <c r="L14" s="15"/>
      <c r="M14" s="20"/>
      <c r="N14" s="26">
        <v>45881</v>
      </c>
      <c r="O14" s="27"/>
      <c r="P14" s="27"/>
      <c r="R14" s="17"/>
      <c r="S14" s="34"/>
      <c r="T14" s="34"/>
      <c r="U14" s="34"/>
      <c r="V14" s="27"/>
    </row>
    <row r="15" spans="1:22" ht="25" customHeight="1">
      <c r="A15" s="80">
        <v>45870</v>
      </c>
      <c r="B15" s="175">
        <v>45836</v>
      </c>
      <c r="C15" s="59" t="s">
        <v>62</v>
      </c>
      <c r="D15" s="18" t="s">
        <v>63</v>
      </c>
      <c r="E15" s="18"/>
      <c r="F15" s="20">
        <v>5151.84</v>
      </c>
      <c r="G15" s="20">
        <v>5400</v>
      </c>
      <c r="H15" s="20"/>
      <c r="I15" s="20"/>
      <c r="J15" s="53">
        <f t="shared" si="0"/>
        <v>248.15999999999985</v>
      </c>
      <c r="K15" s="53"/>
      <c r="L15" s="53"/>
      <c r="M15" s="20"/>
      <c r="N15" s="26">
        <v>45894</v>
      </c>
      <c r="O15" s="27"/>
      <c r="P15" s="148"/>
      <c r="R15" s="17"/>
      <c r="S15" s="34"/>
      <c r="T15" s="34"/>
      <c r="U15" s="34"/>
      <c r="V15" s="27"/>
    </row>
    <row r="16" spans="1:22" ht="25" customHeight="1">
      <c r="A16" s="80">
        <v>45870</v>
      </c>
      <c r="B16" s="175">
        <v>45846</v>
      </c>
      <c r="C16" s="59" t="s">
        <v>64</v>
      </c>
      <c r="D16" s="18" t="s">
        <v>65</v>
      </c>
      <c r="E16" s="18"/>
      <c r="F16" s="20">
        <v>998.15000000000009</v>
      </c>
      <c r="G16" s="20">
        <v>1295</v>
      </c>
      <c r="H16" s="20"/>
      <c r="I16" s="20"/>
      <c r="J16" s="53">
        <f t="shared" si="0"/>
        <v>296.84999999999991</v>
      </c>
      <c r="K16" s="53"/>
      <c r="L16" s="53"/>
      <c r="M16" s="20"/>
      <c r="N16" s="26">
        <v>45892</v>
      </c>
      <c r="O16" s="27"/>
      <c r="P16" s="148"/>
      <c r="R16" s="17"/>
      <c r="S16" s="34"/>
      <c r="T16" s="34"/>
      <c r="U16" s="34"/>
      <c r="V16" s="27"/>
    </row>
    <row r="17" spans="1:22" ht="25" customHeight="1">
      <c r="A17" s="80">
        <v>45870</v>
      </c>
      <c r="B17" s="175">
        <v>45855</v>
      </c>
      <c r="C17" s="59" t="s">
        <v>66</v>
      </c>
      <c r="D17" s="18" t="s">
        <v>67</v>
      </c>
      <c r="E17" s="18"/>
      <c r="F17" s="20">
        <v>1422.04</v>
      </c>
      <c r="G17" s="20">
        <v>1900</v>
      </c>
      <c r="H17" s="20"/>
      <c r="I17" s="20"/>
      <c r="J17" s="53">
        <f t="shared" si="0"/>
        <v>477.96000000000004</v>
      </c>
      <c r="K17" s="53"/>
      <c r="L17" s="53"/>
      <c r="M17" s="20"/>
      <c r="N17" s="26" t="s">
        <v>68</v>
      </c>
      <c r="O17" s="27"/>
      <c r="P17" s="148"/>
      <c r="R17" s="17"/>
      <c r="S17" s="34"/>
      <c r="T17" s="34"/>
      <c r="U17" s="34"/>
      <c r="V17" s="27"/>
    </row>
    <row r="18" spans="1:22" ht="25" customHeight="1">
      <c r="A18" s="80">
        <v>45870</v>
      </c>
      <c r="B18" s="175">
        <v>45862</v>
      </c>
      <c r="C18" s="59" t="s">
        <v>69</v>
      </c>
      <c r="D18" s="18" t="s">
        <v>70</v>
      </c>
      <c r="E18" s="18"/>
      <c r="F18" s="20">
        <v>1359.7</v>
      </c>
      <c r="G18" s="20">
        <v>2200</v>
      </c>
      <c r="H18" s="20"/>
      <c r="I18" s="20"/>
      <c r="J18" s="53">
        <f t="shared" si="0"/>
        <v>840.3</v>
      </c>
      <c r="K18" s="53"/>
      <c r="L18" s="53"/>
      <c r="M18" s="20"/>
      <c r="N18" s="26">
        <v>45901</v>
      </c>
      <c r="O18" s="27"/>
      <c r="P18" s="148"/>
      <c r="R18" s="17"/>
      <c r="S18" s="34"/>
      <c r="T18" s="34"/>
      <c r="U18" s="34"/>
      <c r="V18" s="27"/>
    </row>
    <row r="19" spans="1:22" ht="25" customHeight="1">
      <c r="A19" s="80">
        <v>45870</v>
      </c>
      <c r="B19" s="175">
        <v>45864</v>
      </c>
      <c r="C19" s="59" t="s">
        <v>71</v>
      </c>
      <c r="D19" s="18" t="s">
        <v>72</v>
      </c>
      <c r="E19" s="18"/>
      <c r="F19" s="20">
        <v>3090.369999999999</v>
      </c>
      <c r="G19" s="20">
        <v>3350</v>
      </c>
      <c r="H19" s="20"/>
      <c r="I19" s="20"/>
      <c r="J19" s="53">
        <f t="shared" si="0"/>
        <v>259.63000000000102</v>
      </c>
      <c r="K19" s="53"/>
      <c r="L19" s="53"/>
      <c r="M19" s="20"/>
      <c r="N19" s="26">
        <v>45906</v>
      </c>
      <c r="O19" s="27"/>
      <c r="P19" s="27"/>
      <c r="R19" s="17"/>
      <c r="S19" s="34"/>
      <c r="T19" s="34"/>
      <c r="U19" s="34"/>
      <c r="V19" s="27"/>
    </row>
    <row r="20" spans="1:22" ht="25" customHeight="1">
      <c r="A20" s="80">
        <v>45870</v>
      </c>
      <c r="B20" s="26"/>
      <c r="C20" s="59"/>
      <c r="D20" s="18"/>
      <c r="E20" s="18"/>
      <c r="F20" s="20"/>
      <c r="G20" s="20"/>
      <c r="H20" s="20"/>
      <c r="I20" s="20"/>
      <c r="J20" s="53"/>
      <c r="K20" s="53"/>
      <c r="L20" s="53"/>
      <c r="M20" s="20"/>
      <c r="N20" s="26"/>
      <c r="O20" s="27"/>
      <c r="P20" s="27"/>
      <c r="R20" s="17"/>
      <c r="S20" s="34"/>
      <c r="T20" s="34"/>
      <c r="U20" s="34"/>
      <c r="V20" s="27"/>
    </row>
    <row r="21" spans="1:22" ht="25" customHeight="1">
      <c r="A21" s="80">
        <v>45870</v>
      </c>
      <c r="B21" s="26"/>
      <c r="C21" s="59"/>
      <c r="D21" s="18"/>
      <c r="E21" s="18"/>
      <c r="F21" s="20"/>
      <c r="G21" s="20"/>
      <c r="H21" s="8"/>
      <c r="I21" s="72" t="s">
        <v>32</v>
      </c>
      <c r="J21" s="73">
        <f>SUM(J14:J19)</f>
        <v>464.20000000000095</v>
      </c>
      <c r="K21" s="73"/>
      <c r="L21" s="73"/>
      <c r="M21" s="20"/>
      <c r="N21" s="26"/>
      <c r="O21" s="27"/>
      <c r="P21" s="27"/>
      <c r="R21" s="17"/>
      <c r="S21" s="34"/>
      <c r="T21" s="34"/>
      <c r="U21" s="34"/>
      <c r="V21" s="27"/>
    </row>
    <row r="22" spans="1:22" ht="21" customHeight="1">
      <c r="A22" s="145">
        <v>45870</v>
      </c>
      <c r="B22" s="30"/>
      <c r="C22" s="60"/>
      <c r="D22" s="31"/>
      <c r="E22" s="31"/>
      <c r="F22" s="33"/>
      <c r="G22" s="54"/>
      <c r="H22" s="54"/>
      <c r="I22" s="54"/>
      <c r="J22" s="33"/>
      <c r="K22" s="33"/>
      <c r="L22" s="33"/>
      <c r="M22" s="54"/>
      <c r="N22" s="54"/>
      <c r="O22" s="54"/>
      <c r="P22" s="54"/>
      <c r="R22" s="17"/>
      <c r="S22" s="35"/>
      <c r="T22" s="35"/>
      <c r="U22" s="35"/>
      <c r="V22" s="10"/>
    </row>
    <row r="23" spans="1:22" ht="25" customHeight="1">
      <c r="A23" s="81">
        <v>45901</v>
      </c>
      <c r="B23" s="173">
        <v>45855</v>
      </c>
      <c r="C23" s="12" t="s">
        <v>66</v>
      </c>
      <c r="D23" s="5" t="s">
        <v>67</v>
      </c>
      <c r="E23" s="5"/>
      <c r="F23" s="20">
        <v>1445.22</v>
      </c>
      <c r="G23" s="8">
        <v>1900</v>
      </c>
      <c r="H23" s="8"/>
      <c r="I23" s="8"/>
      <c r="J23" s="53">
        <f>G23-F23</f>
        <v>454.78</v>
      </c>
      <c r="K23" s="53"/>
      <c r="L23" s="53"/>
      <c r="M23" s="20"/>
      <c r="N23" s="8"/>
      <c r="O23" s="20"/>
      <c r="P23" s="20"/>
      <c r="R23" s="17"/>
      <c r="S23" s="7"/>
      <c r="T23" s="6"/>
      <c r="U23" s="7"/>
      <c r="V23" s="6"/>
    </row>
    <row r="24" spans="1:22" ht="25" customHeight="1">
      <c r="A24" s="81">
        <v>45901</v>
      </c>
      <c r="B24" s="173">
        <v>45861</v>
      </c>
      <c r="C24" s="12" t="s">
        <v>73</v>
      </c>
      <c r="D24" s="5" t="s">
        <v>74</v>
      </c>
      <c r="E24" s="5"/>
      <c r="F24" s="20">
        <v>1981.44</v>
      </c>
      <c r="G24" s="8">
        <v>2195</v>
      </c>
      <c r="H24" s="8"/>
      <c r="I24" s="8"/>
      <c r="J24" s="53">
        <f>G24-F24</f>
        <v>213.55999999999995</v>
      </c>
      <c r="K24" s="53"/>
      <c r="L24" s="53"/>
      <c r="M24" s="20"/>
      <c r="N24" s="8"/>
      <c r="O24" s="20"/>
      <c r="P24" s="20"/>
      <c r="R24" s="17"/>
      <c r="S24" s="1"/>
      <c r="T24" s="6"/>
      <c r="U24" s="1"/>
      <c r="V24" s="6"/>
    </row>
    <row r="25" spans="1:22" ht="25" customHeight="1">
      <c r="A25" s="81">
        <v>45901</v>
      </c>
      <c r="B25" s="173">
        <v>45864</v>
      </c>
      <c r="C25" s="12" t="s">
        <v>71</v>
      </c>
      <c r="D25" s="5" t="s">
        <v>72</v>
      </c>
      <c r="E25" s="5"/>
      <c r="F25" s="20">
        <v>3090.369999999999</v>
      </c>
      <c r="G25" s="8">
        <v>3350</v>
      </c>
      <c r="H25" s="8"/>
      <c r="I25" s="8"/>
      <c r="J25" s="53">
        <f>G25-F25</f>
        <v>259.63000000000102</v>
      </c>
      <c r="K25" s="53"/>
      <c r="L25" s="53"/>
      <c r="M25" s="20"/>
      <c r="N25" s="8"/>
      <c r="O25" s="20"/>
      <c r="P25" s="20"/>
      <c r="R25" s="17"/>
      <c r="S25" s="7"/>
      <c r="T25" s="6"/>
      <c r="U25" s="7"/>
      <c r="V25" s="6"/>
    </row>
    <row r="26" spans="1:22" ht="25" customHeight="1">
      <c r="A26" s="81">
        <v>45901</v>
      </c>
      <c r="B26" s="173">
        <v>45895</v>
      </c>
      <c r="C26" s="12" t="s">
        <v>75</v>
      </c>
      <c r="D26" s="5" t="s">
        <v>76</v>
      </c>
      <c r="E26" s="5"/>
      <c r="F26" s="20">
        <v>6168.4299999999994</v>
      </c>
      <c r="G26" s="8">
        <v>7295</v>
      </c>
      <c r="H26" s="8"/>
      <c r="I26" s="8"/>
      <c r="J26" s="53">
        <f>G26-F26</f>
        <v>1126.5700000000006</v>
      </c>
      <c r="K26" s="53"/>
      <c r="L26" s="53"/>
      <c r="M26" s="20"/>
      <c r="N26" s="8"/>
      <c r="O26" s="20"/>
      <c r="P26" s="20"/>
      <c r="R26" s="17"/>
      <c r="S26" s="1"/>
      <c r="T26" s="6"/>
      <c r="U26" s="1"/>
      <c r="V26" s="6"/>
    </row>
    <row r="27" spans="1:22" ht="25" customHeight="1">
      <c r="A27" s="81">
        <v>45901</v>
      </c>
      <c r="B27" s="173">
        <v>45896</v>
      </c>
      <c r="C27" s="12" t="s">
        <v>77</v>
      </c>
      <c r="D27" s="5" t="s">
        <v>78</v>
      </c>
      <c r="E27" s="5"/>
      <c r="F27" s="20">
        <v>3986.54</v>
      </c>
      <c r="G27" s="8">
        <v>5895</v>
      </c>
      <c r="H27" s="8"/>
      <c r="I27" s="8"/>
      <c r="J27" s="53">
        <f>G27-F27</f>
        <v>1908.46</v>
      </c>
      <c r="K27" s="53"/>
      <c r="L27" s="53"/>
      <c r="M27" s="20"/>
      <c r="N27" s="8"/>
      <c r="O27" s="20"/>
      <c r="P27" s="20"/>
      <c r="R27" s="17"/>
      <c r="S27" s="7"/>
      <c r="T27" s="6"/>
      <c r="U27" s="7"/>
      <c r="V27" s="6"/>
    </row>
    <row r="28" spans="1:22" ht="25" customHeight="1">
      <c r="A28" s="81">
        <v>45901</v>
      </c>
      <c r="B28" s="173">
        <v>45862</v>
      </c>
      <c r="C28" s="12" t="s">
        <v>69</v>
      </c>
      <c r="D28" s="5" t="s">
        <v>70</v>
      </c>
      <c r="E28" s="5"/>
      <c r="F28" s="20">
        <v>1359.7</v>
      </c>
      <c r="G28" s="8">
        <v>2217</v>
      </c>
      <c r="H28" s="8">
        <v>343.46</v>
      </c>
      <c r="I28" s="8"/>
      <c r="J28" s="53">
        <f>G28-F28+Table13[[#This Row],[Part Ex]]</f>
        <v>1200.76</v>
      </c>
      <c r="K28" s="53"/>
      <c r="L28" s="53"/>
      <c r="M28" s="20"/>
      <c r="N28" s="8"/>
      <c r="O28" s="20"/>
      <c r="P28" s="20"/>
      <c r="R28" s="17"/>
      <c r="S28" s="7"/>
      <c r="T28" s="6"/>
      <c r="U28" s="7"/>
      <c r="V28" s="6"/>
    </row>
    <row r="29" spans="1:22" ht="25" customHeight="1">
      <c r="A29" s="81">
        <v>45901</v>
      </c>
      <c r="B29" s="173" t="s">
        <v>79</v>
      </c>
      <c r="C29" s="12" t="s">
        <v>80</v>
      </c>
      <c r="D29" s="5" t="s">
        <v>81</v>
      </c>
      <c r="E29" s="5"/>
      <c r="F29" s="20">
        <v>1690.46</v>
      </c>
      <c r="G29" s="8">
        <v>3200</v>
      </c>
      <c r="H29" s="8"/>
      <c r="I29" s="8"/>
      <c r="J29" s="53">
        <f>G29-F29</f>
        <v>1509.54</v>
      </c>
      <c r="K29" s="53"/>
      <c r="L29" s="53"/>
      <c r="M29" s="20"/>
      <c r="N29" s="8"/>
      <c r="O29" s="20"/>
      <c r="P29" s="20"/>
      <c r="R29" s="17"/>
      <c r="S29" s="1"/>
      <c r="T29" s="6"/>
      <c r="U29" s="1"/>
      <c r="V29" s="6"/>
    </row>
    <row r="30" spans="1:22" ht="25" customHeight="1">
      <c r="A30" s="81">
        <v>45901</v>
      </c>
      <c r="B30" s="173" t="s">
        <v>82</v>
      </c>
      <c r="C30" s="12" t="s">
        <v>83</v>
      </c>
      <c r="D30" s="5" t="s">
        <v>74</v>
      </c>
      <c r="E30" s="5"/>
      <c r="F30" s="20">
        <v>1741.67</v>
      </c>
      <c r="G30" s="8">
        <v>2295</v>
      </c>
      <c r="H30" s="8"/>
      <c r="I30" s="8"/>
      <c r="J30" s="53">
        <f>G30-F30</f>
        <v>553.32999999999993</v>
      </c>
      <c r="K30" s="53"/>
      <c r="L30" s="53"/>
      <c r="M30" s="20"/>
      <c r="N30" s="8"/>
      <c r="O30" s="20"/>
      <c r="P30" s="20"/>
      <c r="R30" s="17"/>
      <c r="S30" s="7"/>
      <c r="T30" s="6"/>
      <c r="U30" s="7"/>
      <c r="V30" s="6"/>
    </row>
    <row r="31" spans="1:22" ht="25" customHeight="1">
      <c r="A31" s="81">
        <v>45901</v>
      </c>
      <c r="B31" s="173" t="s">
        <v>84</v>
      </c>
      <c r="C31" s="12" t="s">
        <v>85</v>
      </c>
      <c r="D31" s="5" t="s">
        <v>86</v>
      </c>
      <c r="E31" s="5"/>
      <c r="F31" s="20">
        <v>1719.95</v>
      </c>
      <c r="G31" s="8">
        <v>2900</v>
      </c>
      <c r="H31" s="8"/>
      <c r="I31" s="8"/>
      <c r="J31" s="53">
        <f>G31-F31</f>
        <v>1180.05</v>
      </c>
      <c r="K31" s="53"/>
      <c r="L31" s="53"/>
      <c r="M31" s="20"/>
      <c r="N31" s="8"/>
      <c r="O31" s="20"/>
      <c r="P31" s="20"/>
      <c r="R31" s="17"/>
      <c r="S31" s="1"/>
      <c r="T31" s="6"/>
      <c r="U31" s="1"/>
      <c r="V31" s="6"/>
    </row>
    <row r="32" spans="1:22" ht="25" customHeight="1">
      <c r="A32" s="81">
        <v>45901</v>
      </c>
      <c r="B32" s="173" t="s">
        <v>87</v>
      </c>
      <c r="C32" s="12" t="s">
        <v>88</v>
      </c>
      <c r="D32" s="5" t="s">
        <v>86</v>
      </c>
      <c r="E32" s="5"/>
      <c r="F32" s="20">
        <v>3104.93</v>
      </c>
      <c r="G32" s="8">
        <v>4565</v>
      </c>
      <c r="H32" s="8"/>
      <c r="I32" s="8"/>
      <c r="J32" s="53">
        <f>G32-F32</f>
        <v>1460.0700000000002</v>
      </c>
      <c r="K32" s="53"/>
      <c r="L32" s="53"/>
      <c r="M32" s="20"/>
      <c r="N32" s="8"/>
      <c r="O32" s="20"/>
      <c r="P32" s="20"/>
      <c r="R32" s="17"/>
      <c r="S32" s="1"/>
      <c r="T32" s="1"/>
      <c r="U32" s="1"/>
      <c r="V32" s="1"/>
    </row>
    <row r="33" spans="1:22" ht="25" customHeight="1">
      <c r="A33" s="81">
        <v>45901</v>
      </c>
      <c r="B33" s="6"/>
      <c r="C33" s="12"/>
      <c r="D33" s="5"/>
      <c r="E33" s="5"/>
      <c r="F33" s="8"/>
      <c r="G33" s="8"/>
      <c r="H33" s="8"/>
      <c r="I33" s="8"/>
      <c r="J33" s="53"/>
      <c r="K33" s="53"/>
      <c r="L33" s="53"/>
      <c r="M33" s="8"/>
      <c r="N33" s="6"/>
      <c r="O33" s="1"/>
      <c r="P33" s="1"/>
      <c r="R33" s="17"/>
      <c r="S33" s="36"/>
      <c r="T33" s="36"/>
      <c r="U33" s="36"/>
      <c r="V33" s="1"/>
    </row>
    <row r="34" spans="1:22" ht="25" customHeight="1">
      <c r="A34" s="81">
        <v>45901</v>
      </c>
      <c r="B34" s="6"/>
      <c r="C34" s="5"/>
      <c r="D34" s="5"/>
      <c r="E34" s="5"/>
      <c r="F34" s="8"/>
      <c r="G34" s="8"/>
      <c r="H34" s="8"/>
      <c r="I34" s="72" t="s">
        <v>32</v>
      </c>
      <c r="J34" s="73">
        <f>SUM(J23:J32)</f>
        <v>9866.7500000000018</v>
      </c>
      <c r="K34" s="73"/>
      <c r="L34" s="73"/>
      <c r="M34" s="8"/>
      <c r="N34" s="6"/>
      <c r="O34" s="1"/>
      <c r="P34" s="1"/>
      <c r="R34" s="17"/>
      <c r="S34" s="36"/>
      <c r="T34" s="36"/>
      <c r="U34" s="36"/>
      <c r="V34" s="1"/>
    </row>
    <row r="35" spans="1:22" ht="25" customHeight="1">
      <c r="A35" s="126">
        <v>45901</v>
      </c>
      <c r="B35" s="32"/>
      <c r="C35" s="32"/>
      <c r="D35" s="32"/>
      <c r="E35" s="88"/>
      <c r="F35" s="38"/>
      <c r="G35" s="32"/>
      <c r="H35" s="32"/>
      <c r="I35" s="32"/>
      <c r="J35" s="32"/>
      <c r="K35" s="32"/>
      <c r="L35" s="32"/>
      <c r="M35" s="38"/>
      <c r="N35" s="32"/>
      <c r="O35" s="32"/>
      <c r="P35" s="32"/>
      <c r="R35" s="17"/>
      <c r="S35" s="16"/>
      <c r="T35" s="16"/>
      <c r="U35" s="16"/>
      <c r="V35" s="1"/>
    </row>
    <row r="36" spans="1:22" ht="21.75" customHeight="1">
      <c r="A36" s="81">
        <v>45931</v>
      </c>
      <c r="B36" s="173">
        <v>45906</v>
      </c>
      <c r="C36" s="5" t="s">
        <v>89</v>
      </c>
      <c r="D36" s="5" t="s">
        <v>90</v>
      </c>
      <c r="E36" s="12"/>
      <c r="F36" s="8">
        <v>3530.94</v>
      </c>
      <c r="G36" s="8">
        <v>3995</v>
      </c>
      <c r="H36" s="8"/>
      <c r="I36" s="8"/>
      <c r="J36" s="53">
        <f t="shared" ref="J36:J43" si="1">G36-F36</f>
        <v>464.05999999999995</v>
      </c>
      <c r="K36" s="53"/>
      <c r="L36" s="53"/>
      <c r="M36" s="14"/>
      <c r="N36" s="1"/>
      <c r="O36" s="1"/>
      <c r="P36" s="1"/>
      <c r="R36" s="17"/>
      <c r="S36" s="34"/>
      <c r="T36" s="34"/>
      <c r="U36" s="34"/>
      <c r="V36" s="1"/>
    </row>
    <row r="37" spans="1:22" ht="21.75" customHeight="1">
      <c r="A37" s="81">
        <v>45931</v>
      </c>
      <c r="B37" s="173">
        <v>45916</v>
      </c>
      <c r="C37" s="5" t="s">
        <v>91</v>
      </c>
      <c r="D37" s="5" t="s">
        <v>92</v>
      </c>
      <c r="E37" s="12"/>
      <c r="F37" s="8">
        <v>2450.67</v>
      </c>
      <c r="G37" s="8">
        <v>4000</v>
      </c>
      <c r="H37" s="8"/>
      <c r="I37" s="8"/>
      <c r="J37" s="53">
        <f t="shared" si="1"/>
        <v>1549.33</v>
      </c>
      <c r="K37" s="53"/>
      <c r="L37" s="53"/>
      <c r="M37" s="14"/>
      <c r="N37" s="1"/>
      <c r="O37" s="1"/>
      <c r="P37" s="1"/>
      <c r="R37" s="17"/>
      <c r="S37" s="34"/>
      <c r="T37" s="34"/>
      <c r="U37" s="34"/>
      <c r="V37" s="1"/>
    </row>
    <row r="38" spans="1:22" ht="21.75" customHeight="1">
      <c r="A38" s="81">
        <v>45931</v>
      </c>
      <c r="B38" s="173">
        <v>45915</v>
      </c>
      <c r="C38" s="5" t="s">
        <v>93</v>
      </c>
      <c r="D38" s="5" t="s">
        <v>94</v>
      </c>
      <c r="E38" s="12"/>
      <c r="F38" s="8">
        <v>1649.24</v>
      </c>
      <c r="G38" s="8">
        <v>2600</v>
      </c>
      <c r="H38" s="8"/>
      <c r="I38" s="8"/>
      <c r="J38" s="53">
        <f t="shared" si="1"/>
        <v>950.76</v>
      </c>
      <c r="K38" s="53"/>
      <c r="L38" s="53"/>
      <c r="M38" s="14"/>
      <c r="N38" s="1"/>
      <c r="O38" s="1"/>
      <c r="P38" s="1"/>
      <c r="R38" s="17"/>
      <c r="S38" s="34"/>
      <c r="T38" s="34"/>
      <c r="U38" s="34"/>
      <c r="V38" s="1"/>
    </row>
    <row r="39" spans="1:22" ht="21.75" customHeight="1">
      <c r="A39" s="81">
        <v>45931</v>
      </c>
      <c r="B39" s="173">
        <v>45922</v>
      </c>
      <c r="C39" s="5" t="s">
        <v>95</v>
      </c>
      <c r="D39" s="5" t="s">
        <v>96</v>
      </c>
      <c r="E39" s="12"/>
      <c r="F39" s="8">
        <v>1051.1600000000001</v>
      </c>
      <c r="G39" s="8">
        <v>2400</v>
      </c>
      <c r="H39" s="8"/>
      <c r="I39" s="8"/>
      <c r="J39" s="53">
        <f t="shared" si="1"/>
        <v>1348.84</v>
      </c>
      <c r="K39" s="53"/>
      <c r="L39" s="53"/>
      <c r="M39" s="14"/>
      <c r="N39" s="1"/>
      <c r="O39" s="1"/>
      <c r="P39" s="1"/>
      <c r="R39" s="17"/>
      <c r="S39" s="34"/>
      <c r="T39" s="34"/>
      <c r="U39" s="34"/>
      <c r="V39" s="1"/>
    </row>
    <row r="40" spans="1:22" ht="21.75" customHeight="1">
      <c r="A40" s="81">
        <v>45931</v>
      </c>
      <c r="B40" s="173">
        <v>45924</v>
      </c>
      <c r="C40" s="5" t="s">
        <v>97</v>
      </c>
      <c r="D40" s="5" t="s">
        <v>98</v>
      </c>
      <c r="E40" s="12"/>
      <c r="F40" s="8">
        <v>910.31000000000006</v>
      </c>
      <c r="G40" s="8">
        <v>1995</v>
      </c>
      <c r="H40" s="8"/>
      <c r="I40" s="8"/>
      <c r="J40" s="53">
        <f t="shared" si="1"/>
        <v>1084.69</v>
      </c>
      <c r="K40" s="53"/>
      <c r="L40" s="53"/>
      <c r="M40" s="14"/>
      <c r="N40" s="1"/>
      <c r="O40" s="1"/>
      <c r="P40" s="1"/>
      <c r="R40" s="17"/>
      <c r="S40" s="34"/>
      <c r="T40" s="34"/>
      <c r="U40" s="34"/>
      <c r="V40" s="1"/>
    </row>
    <row r="41" spans="1:22" ht="21.75" customHeight="1">
      <c r="A41" s="81">
        <v>45931</v>
      </c>
      <c r="B41" s="173">
        <v>45931</v>
      </c>
      <c r="C41" s="5" t="s">
        <v>99</v>
      </c>
      <c r="D41" s="5" t="s">
        <v>100</v>
      </c>
      <c r="E41" s="12"/>
      <c r="F41" s="8">
        <v>3434.130000000001</v>
      </c>
      <c r="G41" s="8">
        <v>5995</v>
      </c>
      <c r="H41" s="8"/>
      <c r="I41" s="8"/>
      <c r="J41" s="53">
        <f t="shared" si="1"/>
        <v>2560.869999999999</v>
      </c>
      <c r="K41" s="53"/>
      <c r="L41" s="53"/>
      <c r="M41" s="14"/>
      <c r="N41" s="1"/>
      <c r="O41" s="1"/>
      <c r="P41" s="1"/>
      <c r="R41" s="17"/>
      <c r="S41" s="34"/>
      <c r="T41" s="34"/>
      <c r="U41" s="34"/>
      <c r="V41" s="1"/>
    </row>
    <row r="42" spans="1:22" ht="21.75" customHeight="1">
      <c r="A42" s="81">
        <v>45931</v>
      </c>
      <c r="B42" s="173">
        <v>45935</v>
      </c>
      <c r="C42" s="5" t="s">
        <v>101</v>
      </c>
      <c r="D42" s="5" t="s">
        <v>102</v>
      </c>
      <c r="E42" s="12"/>
      <c r="F42" s="8">
        <v>1625.91</v>
      </c>
      <c r="G42" s="8">
        <v>3100</v>
      </c>
      <c r="H42" s="8"/>
      <c r="I42" s="8"/>
      <c r="J42" s="53">
        <f t="shared" si="1"/>
        <v>1474.09</v>
      </c>
      <c r="K42" s="53"/>
      <c r="L42" s="53"/>
      <c r="M42" s="14"/>
      <c r="N42" s="1"/>
      <c r="O42" s="1"/>
      <c r="P42" s="1"/>
      <c r="R42" s="17"/>
      <c r="S42" s="34"/>
      <c r="T42" s="34"/>
      <c r="U42" s="34"/>
      <c r="V42" s="1"/>
    </row>
    <row r="43" spans="1:22" ht="21.75" customHeight="1">
      <c r="A43" s="81">
        <v>45931</v>
      </c>
      <c r="B43" s="173">
        <v>45950</v>
      </c>
      <c r="C43" s="5" t="s">
        <v>103</v>
      </c>
      <c r="D43" s="5" t="s">
        <v>94</v>
      </c>
      <c r="E43" s="12"/>
      <c r="F43" s="8">
        <v>1964.54</v>
      </c>
      <c r="G43" s="8">
        <v>2650</v>
      </c>
      <c r="H43" s="8"/>
      <c r="I43" s="8"/>
      <c r="J43" s="53">
        <f t="shared" si="1"/>
        <v>685.46</v>
      </c>
      <c r="K43" s="53"/>
      <c r="L43" s="53"/>
      <c r="M43" s="14"/>
      <c r="N43" s="1"/>
      <c r="O43" s="1"/>
      <c r="P43" s="1"/>
      <c r="R43" s="17"/>
      <c r="S43" s="16"/>
      <c r="T43" s="16"/>
      <c r="U43" s="16"/>
      <c r="V43" s="1"/>
    </row>
    <row r="44" spans="1:22" ht="21.75" customHeight="1">
      <c r="A44" s="81">
        <v>45931</v>
      </c>
      <c r="B44" s="173"/>
      <c r="C44" s="5"/>
      <c r="D44" s="5"/>
      <c r="E44" s="12"/>
      <c r="F44" s="8"/>
      <c r="G44" s="8"/>
      <c r="H44" s="8"/>
      <c r="I44" s="8"/>
      <c r="J44" s="53"/>
      <c r="K44" s="53"/>
      <c r="L44" s="53"/>
      <c r="M44" s="14"/>
      <c r="N44" s="1"/>
      <c r="O44" s="1"/>
      <c r="P44" s="1"/>
      <c r="R44" s="17"/>
      <c r="S44" s="16"/>
      <c r="T44" s="16"/>
      <c r="U44" s="16"/>
      <c r="V44" s="1"/>
    </row>
    <row r="45" spans="1:22" ht="21.75" customHeight="1">
      <c r="A45" s="81">
        <v>45931</v>
      </c>
      <c r="B45" s="173"/>
      <c r="C45" s="5"/>
      <c r="D45" s="5"/>
      <c r="E45" s="12"/>
      <c r="F45" s="8"/>
      <c r="G45" s="8"/>
      <c r="H45" s="8"/>
      <c r="I45" s="72" t="s">
        <v>32</v>
      </c>
      <c r="J45" s="73">
        <f>SUM(J36:J43)</f>
        <v>10118.099999999999</v>
      </c>
      <c r="K45" s="73"/>
      <c r="L45" s="73"/>
      <c r="M45" s="14"/>
      <c r="N45" s="1"/>
      <c r="O45" s="1"/>
      <c r="P45" s="1"/>
      <c r="R45" s="17"/>
      <c r="S45" s="16"/>
      <c r="T45" s="16"/>
      <c r="U45" s="16"/>
      <c r="V45" s="1"/>
    </row>
    <row r="46" spans="1:22" ht="21.75" customHeight="1">
      <c r="A46" s="126">
        <v>45931</v>
      </c>
      <c r="B46" s="88"/>
      <c r="C46" s="32"/>
      <c r="D46" s="32"/>
      <c r="E46" s="88"/>
      <c r="F46" s="38"/>
      <c r="G46" s="32"/>
      <c r="H46" s="32"/>
      <c r="I46" s="32"/>
      <c r="J46" s="32"/>
      <c r="K46" s="32"/>
      <c r="L46" s="32"/>
      <c r="M46" s="38"/>
      <c r="N46" s="32"/>
      <c r="O46" s="32"/>
      <c r="P46" s="32"/>
      <c r="R46" s="17"/>
      <c r="S46" s="16"/>
      <c r="T46" s="16"/>
      <c r="U46" s="16"/>
      <c r="V46" s="1"/>
    </row>
    <row r="47" spans="1:22" ht="22" customHeight="1">
      <c r="A47" s="81">
        <v>45962</v>
      </c>
      <c r="B47" s="173">
        <v>45860</v>
      </c>
      <c r="C47" s="5" t="s">
        <v>104</v>
      </c>
      <c r="D47" s="5" t="s">
        <v>105</v>
      </c>
      <c r="E47" s="258" t="s">
        <v>106</v>
      </c>
      <c r="F47" s="8">
        <f>'Stock Data'!K86</f>
        <v>6035.8699999999981</v>
      </c>
      <c r="G47" s="8">
        <v>6300</v>
      </c>
      <c r="H47" s="8"/>
      <c r="I47" s="136" t="s">
        <v>107</v>
      </c>
      <c r="J47" s="53">
        <f t="shared" ref="J47:J60" si="2">G47-F47</f>
        <v>264.13000000000193</v>
      </c>
      <c r="K47" s="53"/>
      <c r="L47" s="53">
        <v>264.13000000000193</v>
      </c>
      <c r="M47" s="8"/>
      <c r="N47" s="6">
        <v>45967</v>
      </c>
      <c r="O47" s="1"/>
      <c r="P47" s="1"/>
      <c r="R47" s="17"/>
      <c r="S47" s="34"/>
      <c r="T47" s="34"/>
      <c r="U47" s="34"/>
      <c r="V47" s="1"/>
    </row>
    <row r="48" spans="1:22" ht="24.75" customHeight="1">
      <c r="A48" s="81">
        <v>45962</v>
      </c>
      <c r="B48" s="173"/>
      <c r="C48" s="5" t="s">
        <v>108</v>
      </c>
      <c r="D48" s="5" t="s">
        <v>109</v>
      </c>
      <c r="E48" s="12" t="s">
        <v>110</v>
      </c>
      <c r="F48" s="8">
        <f>'Stock Data'!K89</f>
        <v>4386.43</v>
      </c>
      <c r="G48" s="79">
        <v>5394</v>
      </c>
      <c r="H48" s="8"/>
      <c r="I48" s="135" t="s">
        <v>111</v>
      </c>
      <c r="J48" s="53">
        <f t="shared" si="2"/>
        <v>1007.5699999999997</v>
      </c>
      <c r="K48" s="53">
        <f>Table13[[#This Row],[Total Profit]]-Table13[[#This Row],[MP Profit]]</f>
        <v>403.02799999999991</v>
      </c>
      <c r="L48" s="53">
        <f>Table13[[#This Row],[Total Profit]]*0.6</f>
        <v>604.5419999999998</v>
      </c>
      <c r="M48" s="8"/>
      <c r="N48" s="6"/>
      <c r="O48" s="1"/>
      <c r="P48" s="1"/>
      <c r="R48" s="17"/>
      <c r="S48" s="34"/>
      <c r="T48" s="34"/>
      <c r="U48" s="34"/>
      <c r="V48" s="1"/>
    </row>
    <row r="49" spans="1:22" ht="24.75" customHeight="1">
      <c r="A49" s="81">
        <v>45962</v>
      </c>
      <c r="B49" s="6"/>
      <c r="C49" s="5" t="s">
        <v>112</v>
      </c>
      <c r="D49" s="5" t="s">
        <v>86</v>
      </c>
      <c r="E49" s="12" t="s">
        <v>113</v>
      </c>
      <c r="F49" s="8">
        <f>'Stock Data'!K93</f>
        <v>4542.54</v>
      </c>
      <c r="G49" s="8">
        <v>5795</v>
      </c>
      <c r="H49" s="8"/>
      <c r="I49" s="135" t="s">
        <v>114</v>
      </c>
      <c r="J49" s="53">
        <f t="shared" si="2"/>
        <v>1252.46</v>
      </c>
      <c r="K49" s="53">
        <f>Table13[[#This Row],[Total Profit]]-Table13[[#This Row],[MP Profit]]</f>
        <v>626.23</v>
      </c>
      <c r="L49" s="53">
        <f>Table13[[#This Row],[Total Profit]]*0.5</f>
        <v>626.23</v>
      </c>
      <c r="M49" s="8"/>
      <c r="N49" s="6">
        <v>45966</v>
      </c>
      <c r="O49" s="1"/>
      <c r="P49" s="1"/>
      <c r="R49" s="17"/>
      <c r="S49" s="34"/>
      <c r="T49" s="34"/>
      <c r="U49" s="34"/>
      <c r="V49" s="1"/>
    </row>
    <row r="50" spans="1:22" ht="24.75" customHeight="1">
      <c r="A50" s="81">
        <v>45962</v>
      </c>
      <c r="B50" s="6"/>
      <c r="C50" s="5" t="s">
        <v>115</v>
      </c>
      <c r="D50" s="5" t="s">
        <v>86</v>
      </c>
      <c r="E50" s="12" t="s">
        <v>113</v>
      </c>
      <c r="F50" s="8">
        <v>5243.21</v>
      </c>
      <c r="G50" s="61">
        <v>6795</v>
      </c>
      <c r="H50" s="8"/>
      <c r="I50" s="135" t="s">
        <v>114</v>
      </c>
      <c r="J50" s="53">
        <f t="shared" si="2"/>
        <v>1551.79</v>
      </c>
      <c r="K50" s="53">
        <f>Table13[[#This Row],[Total Profit]]-Table13[[#This Row],[MP Profit]]</f>
        <v>775.89499999999998</v>
      </c>
      <c r="L50" s="53">
        <f>Table13[[#This Row],[Total Profit]]*0.5</f>
        <v>775.89499999999998</v>
      </c>
      <c r="M50" s="8"/>
      <c r="N50" s="6">
        <v>45974</v>
      </c>
      <c r="O50" s="1"/>
      <c r="P50" s="1"/>
      <c r="R50" s="17"/>
      <c r="S50" s="34"/>
      <c r="T50" s="34"/>
      <c r="U50" s="34"/>
      <c r="V50" s="1"/>
    </row>
    <row r="51" spans="1:22" ht="24.75" customHeight="1">
      <c r="A51" s="81">
        <v>45962</v>
      </c>
      <c r="B51" s="6"/>
      <c r="C51" s="12" t="s">
        <v>116</v>
      </c>
      <c r="D51" s="5" t="s">
        <v>81</v>
      </c>
      <c r="E51" s="12" t="s">
        <v>107</v>
      </c>
      <c r="F51" s="8">
        <f>'Stock Data'!K88</f>
        <v>3149.04</v>
      </c>
      <c r="G51" s="8">
        <v>3795</v>
      </c>
      <c r="H51" s="8" t="s">
        <v>117</v>
      </c>
      <c r="I51" s="136" t="s">
        <v>107</v>
      </c>
      <c r="J51" s="53">
        <f t="shared" si="2"/>
        <v>645.96</v>
      </c>
      <c r="K51" s="53"/>
      <c r="L51" s="53">
        <f>Table13[[#This Row],[Total Profit]]</f>
        <v>645.96</v>
      </c>
      <c r="M51" s="8"/>
      <c r="N51" s="6">
        <v>45976</v>
      </c>
      <c r="O51" s="1"/>
      <c r="P51" s="1"/>
      <c r="R51" s="17"/>
      <c r="S51" s="34"/>
      <c r="T51" s="34"/>
      <c r="U51" s="34"/>
      <c r="V51" s="1"/>
    </row>
    <row r="52" spans="1:22" ht="24.75" customHeight="1">
      <c r="A52" s="81">
        <v>45962</v>
      </c>
      <c r="B52" s="6"/>
      <c r="C52" s="12" t="s">
        <v>118</v>
      </c>
      <c r="D52" s="5" t="s">
        <v>119</v>
      </c>
      <c r="E52" s="12" t="s">
        <v>107</v>
      </c>
      <c r="F52" s="8">
        <f>'Stock Data'!K92</f>
        <v>2421.85</v>
      </c>
      <c r="G52" s="8">
        <v>2989.66</v>
      </c>
      <c r="H52" s="8"/>
      <c r="I52" s="136" t="s">
        <v>107</v>
      </c>
      <c r="J52" s="53">
        <f t="shared" si="2"/>
        <v>567.80999999999995</v>
      </c>
      <c r="K52" s="53"/>
      <c r="L52" s="53">
        <v>806.21</v>
      </c>
      <c r="M52" s="8"/>
      <c r="N52" s="6">
        <v>45980</v>
      </c>
      <c r="O52" s="1"/>
      <c r="P52" s="1"/>
      <c r="R52" s="17"/>
      <c r="S52" s="34"/>
      <c r="T52" s="34"/>
      <c r="U52" s="34"/>
      <c r="V52" s="1"/>
    </row>
    <row r="53" spans="1:22" ht="24.75" customHeight="1">
      <c r="A53" s="81">
        <v>45962</v>
      </c>
      <c r="B53" s="6"/>
      <c r="C53" s="12" t="s">
        <v>120</v>
      </c>
      <c r="D53" s="5" t="s">
        <v>65</v>
      </c>
      <c r="E53" s="12" t="s">
        <v>107</v>
      </c>
      <c r="F53" s="8">
        <f>'Stock Data'!K85</f>
        <v>3651.52</v>
      </c>
      <c r="G53" s="8">
        <v>3550</v>
      </c>
      <c r="H53" s="8"/>
      <c r="I53" s="136" t="s">
        <v>107</v>
      </c>
      <c r="J53" s="53">
        <f t="shared" si="2"/>
        <v>-101.51999999999998</v>
      </c>
      <c r="K53" s="53"/>
      <c r="L53" s="15">
        <f>Table13[[#This Row],[Total Profit]]</f>
        <v>-101.51999999999998</v>
      </c>
      <c r="M53" s="8"/>
      <c r="N53" s="6">
        <v>45980</v>
      </c>
      <c r="O53" s="1"/>
      <c r="P53" s="1"/>
      <c r="R53" s="17"/>
      <c r="S53" s="34"/>
      <c r="T53" s="34"/>
      <c r="U53" s="34"/>
      <c r="V53" s="1"/>
    </row>
    <row r="54" spans="1:22" ht="24.75" customHeight="1">
      <c r="A54" s="81">
        <v>45962</v>
      </c>
      <c r="B54" s="6"/>
      <c r="C54" s="12" t="s">
        <v>121</v>
      </c>
      <c r="D54" s="5" t="s">
        <v>122</v>
      </c>
      <c r="E54" s="12" t="s">
        <v>110</v>
      </c>
      <c r="F54" s="8">
        <f>'Stock Data'!K96</f>
        <v>2386.87</v>
      </c>
      <c r="G54" s="8">
        <v>4695</v>
      </c>
      <c r="H54" s="8"/>
      <c r="I54" s="135" t="s">
        <v>111</v>
      </c>
      <c r="J54" s="53">
        <f t="shared" si="2"/>
        <v>2308.13</v>
      </c>
      <c r="K54" s="53">
        <f>Table13[[#This Row],[Total Profit]]-Table13[[#This Row],[MP Profit]]</f>
        <v>923.25200000000018</v>
      </c>
      <c r="L54" s="53">
        <f>Table13[[#This Row],[Total Profit]]*0.6</f>
        <v>1384.8779999999999</v>
      </c>
      <c r="M54" s="8"/>
      <c r="N54" s="6">
        <v>45976</v>
      </c>
      <c r="O54" s="1"/>
      <c r="P54" s="1"/>
      <c r="R54" s="17"/>
      <c r="S54" s="34"/>
      <c r="T54" s="34"/>
      <c r="U54" s="34"/>
      <c r="V54" s="1"/>
    </row>
    <row r="55" spans="1:22" ht="24.75" customHeight="1">
      <c r="A55" s="81">
        <v>45962</v>
      </c>
      <c r="B55" s="6"/>
      <c r="C55" s="12" t="s">
        <v>123</v>
      </c>
      <c r="D55" s="5" t="s">
        <v>124</v>
      </c>
      <c r="E55" s="12" t="s">
        <v>125</v>
      </c>
      <c r="F55" s="8">
        <f>'Stock Data'!K91</f>
        <v>3516.24</v>
      </c>
      <c r="G55" s="8">
        <v>5591.61</v>
      </c>
      <c r="H55" s="8"/>
      <c r="I55" s="135" t="s">
        <v>111</v>
      </c>
      <c r="J55" s="53">
        <f t="shared" si="2"/>
        <v>2075.37</v>
      </c>
      <c r="K55" s="53">
        <f>Table13[[#This Row],[Total Profit]]-Table13[[#This Row],[MP Profit]]</f>
        <v>830.14799999999991</v>
      </c>
      <c r="L55" s="53">
        <f>Table13[[#This Row],[Total Profit]]*0.6</f>
        <v>1245.222</v>
      </c>
      <c r="M55" s="8"/>
      <c r="N55" s="6">
        <v>45976</v>
      </c>
      <c r="O55" s="1"/>
      <c r="P55" s="1"/>
      <c r="R55" s="17"/>
      <c r="S55" s="34"/>
      <c r="T55" s="34"/>
      <c r="U55" s="34"/>
      <c r="V55" s="1"/>
    </row>
    <row r="56" spans="1:22" ht="25.5" customHeight="1">
      <c r="A56" s="81">
        <v>45962</v>
      </c>
      <c r="B56" s="6"/>
      <c r="C56" s="12" t="s">
        <v>126</v>
      </c>
      <c r="D56" s="5" t="s">
        <v>78</v>
      </c>
      <c r="E56" s="12" t="s">
        <v>125</v>
      </c>
      <c r="F56" s="8">
        <f>'Stock Data'!K90</f>
        <v>3949.3500000000004</v>
      </c>
      <c r="G56" s="8">
        <v>5795</v>
      </c>
      <c r="H56" s="8"/>
      <c r="I56" s="135" t="s">
        <v>111</v>
      </c>
      <c r="J56" s="53">
        <f t="shared" si="2"/>
        <v>1845.6499999999996</v>
      </c>
      <c r="K56" s="53">
        <f>Table13[[#This Row],[Total Profit]]*0.4</f>
        <v>738.25999999999988</v>
      </c>
      <c r="L56" s="53">
        <f>Table13[[#This Row],[Total Profit]]*0.6</f>
        <v>1107.3899999999996</v>
      </c>
      <c r="M56" s="8"/>
      <c r="N56" s="6">
        <v>45983</v>
      </c>
      <c r="O56" s="1"/>
      <c r="P56" s="1"/>
      <c r="R56" s="17"/>
      <c r="S56" s="34"/>
      <c r="T56" s="34"/>
      <c r="U56" s="34"/>
      <c r="V56" s="1"/>
    </row>
    <row r="57" spans="1:22" ht="25.5" customHeight="1">
      <c r="A57" s="81">
        <v>45962</v>
      </c>
      <c r="B57" s="6"/>
      <c r="C57" s="5" t="s">
        <v>127</v>
      </c>
      <c r="D57" s="5" t="s">
        <v>128</v>
      </c>
      <c r="E57" s="12" t="s">
        <v>129</v>
      </c>
      <c r="F57" s="8">
        <f>'Stock Data'!K98</f>
        <v>5437.63</v>
      </c>
      <c r="G57" s="8">
        <v>8602</v>
      </c>
      <c r="H57" s="8"/>
      <c r="I57" s="135" t="s">
        <v>114</v>
      </c>
      <c r="J57" s="53">
        <f t="shared" si="2"/>
        <v>3164.37</v>
      </c>
      <c r="K57" s="53">
        <f>Table13[[#This Row],[Total Profit]]/2</f>
        <v>1582.1849999999999</v>
      </c>
      <c r="L57" s="53">
        <f>1582.185+140.9</f>
        <v>1723.085</v>
      </c>
      <c r="M57" s="8"/>
      <c r="N57" s="6">
        <v>45988</v>
      </c>
      <c r="O57" s="1"/>
      <c r="P57" s="1"/>
      <c r="R57" s="17"/>
      <c r="S57" s="34"/>
      <c r="T57" s="34"/>
      <c r="U57" s="34"/>
      <c r="V57" s="1"/>
    </row>
    <row r="58" spans="1:22" ht="25.5" customHeight="1">
      <c r="A58" s="81">
        <v>45962</v>
      </c>
      <c r="B58" s="6"/>
      <c r="C58" s="5" t="s">
        <v>130</v>
      </c>
      <c r="D58" s="5" t="s">
        <v>131</v>
      </c>
      <c r="E58" s="12" t="s">
        <v>113</v>
      </c>
      <c r="F58" s="8">
        <f>'Stock Data'!K103</f>
        <v>5477.23</v>
      </c>
      <c r="G58" s="8">
        <v>7250</v>
      </c>
      <c r="H58" s="8"/>
      <c r="I58" s="135" t="s">
        <v>114</v>
      </c>
      <c r="J58" s="53">
        <f t="shared" si="2"/>
        <v>1772.7700000000004</v>
      </c>
      <c r="K58" s="53">
        <f>Table13[[#This Row],[Total Profit]]/2</f>
        <v>886.38500000000022</v>
      </c>
      <c r="L58" s="53">
        <f>Table13[[#This Row],[Total Profit]]/2</f>
        <v>886.38500000000022</v>
      </c>
      <c r="M58" s="8"/>
      <c r="N58" s="6">
        <v>45989</v>
      </c>
      <c r="O58" s="1"/>
      <c r="P58" s="1"/>
      <c r="R58" s="17"/>
      <c r="S58" s="34"/>
      <c r="T58" s="34"/>
      <c r="U58" s="34"/>
      <c r="V58" s="1"/>
    </row>
    <row r="59" spans="1:22" ht="25.5" customHeight="1">
      <c r="A59" s="81">
        <v>45962</v>
      </c>
      <c r="B59" s="6"/>
      <c r="C59" s="12" t="s">
        <v>132</v>
      </c>
      <c r="D59" s="5" t="s">
        <v>94</v>
      </c>
      <c r="E59" s="12" t="s">
        <v>113</v>
      </c>
      <c r="F59" s="8">
        <f>'Stock Data'!K95</f>
        <v>2576</v>
      </c>
      <c r="G59" s="8">
        <v>3900</v>
      </c>
      <c r="H59" s="8"/>
      <c r="I59" s="135" t="s">
        <v>114</v>
      </c>
      <c r="J59" s="53">
        <f t="shared" si="2"/>
        <v>1324</v>
      </c>
      <c r="K59" s="53">
        <f>Table13[[#This Row],[Total Profit]]/2</f>
        <v>662</v>
      </c>
      <c r="L59" s="53">
        <f>Table13[[#This Row],[Total Profit]]/2</f>
        <v>662</v>
      </c>
      <c r="M59" s="8"/>
      <c r="N59" s="6">
        <v>45990</v>
      </c>
      <c r="O59" s="1"/>
      <c r="P59" s="1"/>
      <c r="R59" s="17"/>
      <c r="S59" s="34"/>
      <c r="T59" s="34"/>
      <c r="U59" s="34"/>
      <c r="V59" s="1"/>
    </row>
    <row r="60" spans="1:22" ht="25" customHeight="1">
      <c r="A60" s="81">
        <v>45962</v>
      </c>
      <c r="B60" s="6"/>
      <c r="C60" s="5" t="s">
        <v>133</v>
      </c>
      <c r="D60" s="5" t="s">
        <v>134</v>
      </c>
      <c r="E60" s="12" t="s">
        <v>135</v>
      </c>
      <c r="F60" s="8">
        <f>'Stock Data'!K111</f>
        <v>5975.85</v>
      </c>
      <c r="G60" s="8">
        <v>7400</v>
      </c>
      <c r="H60" s="8" t="s">
        <v>136</v>
      </c>
      <c r="I60" s="135" t="s">
        <v>114</v>
      </c>
      <c r="J60" s="53">
        <f t="shared" si="2"/>
        <v>1424.1499999999996</v>
      </c>
      <c r="K60" s="53">
        <v>1112.08</v>
      </c>
      <c r="L60" s="53">
        <f>Table13[[#This Row],[Total Profit]]/2</f>
        <v>712.07499999999982</v>
      </c>
      <c r="M60" s="8"/>
      <c r="N60" s="6">
        <v>45991</v>
      </c>
      <c r="O60" s="1"/>
      <c r="P60" s="1"/>
      <c r="R60" s="17"/>
      <c r="S60" s="34"/>
      <c r="T60" s="34"/>
      <c r="U60" s="34"/>
      <c r="V60" s="1"/>
    </row>
    <row r="61" spans="1:22" ht="25" customHeight="1">
      <c r="A61" s="81">
        <v>45962</v>
      </c>
      <c r="B61" s="6"/>
      <c r="C61" s="5" t="s">
        <v>137</v>
      </c>
      <c r="D61" s="5" t="s">
        <v>138</v>
      </c>
      <c r="E61" s="12" t="s">
        <v>107</v>
      </c>
      <c r="F61" s="8"/>
      <c r="G61" s="8">
        <v>500</v>
      </c>
      <c r="H61" s="8">
        <v>200</v>
      </c>
      <c r="I61" s="135" t="s">
        <v>107</v>
      </c>
      <c r="J61" s="53">
        <f>Table13[[#This Row],[Sold]]-Table13[[#This Row],[Part Ex]]</f>
        <v>300</v>
      </c>
      <c r="K61" s="53"/>
      <c r="L61" s="53">
        <v>300</v>
      </c>
      <c r="M61" s="8"/>
      <c r="N61" s="6">
        <v>45991</v>
      </c>
      <c r="O61" s="1"/>
      <c r="P61" s="1"/>
      <c r="R61" s="17"/>
      <c r="S61" s="34"/>
      <c r="T61" s="34"/>
      <c r="U61" s="34"/>
      <c r="V61" s="1"/>
    </row>
    <row r="62" spans="1:22" ht="25" customHeight="1">
      <c r="A62" s="81">
        <v>45962</v>
      </c>
      <c r="B62" s="6"/>
      <c r="C62" s="5"/>
      <c r="D62" s="5"/>
      <c r="E62" s="12"/>
      <c r="F62" s="8"/>
      <c r="G62" s="8"/>
      <c r="H62" s="8"/>
      <c r="I62" s="135"/>
      <c r="J62" s="53"/>
      <c r="K62" s="53"/>
      <c r="L62" s="53"/>
      <c r="M62" s="8"/>
      <c r="N62" s="6"/>
      <c r="O62" s="1"/>
      <c r="P62" s="1"/>
      <c r="R62" s="17"/>
      <c r="S62" s="34"/>
      <c r="T62" s="34"/>
      <c r="U62" s="34"/>
      <c r="V62" s="1"/>
    </row>
    <row r="63" spans="1:22" ht="25" customHeight="1">
      <c r="A63" s="81">
        <v>45962</v>
      </c>
      <c r="B63" s="6"/>
      <c r="C63" s="5"/>
      <c r="D63" s="5"/>
      <c r="E63" s="12"/>
      <c r="F63" s="8"/>
      <c r="G63" s="8"/>
      <c r="H63" s="8"/>
      <c r="I63" s="72" t="s">
        <v>32</v>
      </c>
      <c r="J63" s="73">
        <f>SUM(J47:J60)</f>
        <v>19102.64</v>
      </c>
      <c r="K63" s="73">
        <f>SUM(K47:K60)</f>
        <v>8539.4629999999997</v>
      </c>
      <c r="L63" s="73">
        <f>SUM(L47:L60)</f>
        <v>11342.482</v>
      </c>
      <c r="M63" s="8"/>
      <c r="N63" s="6"/>
      <c r="O63" s="1"/>
      <c r="P63" s="1"/>
      <c r="R63" s="17"/>
      <c r="S63" s="34"/>
      <c r="T63" s="34"/>
      <c r="U63" s="34"/>
      <c r="V63" s="1"/>
    </row>
    <row r="64" spans="1:22" ht="25" customHeight="1">
      <c r="A64" s="126">
        <v>45962</v>
      </c>
      <c r="B64" s="29"/>
      <c r="C64" s="29"/>
      <c r="D64" s="29"/>
      <c r="E64" s="280"/>
      <c r="F64" s="29"/>
      <c r="G64" s="29"/>
      <c r="H64" s="29"/>
      <c r="I64" s="29"/>
      <c r="J64" s="29"/>
      <c r="K64" s="29"/>
      <c r="L64" s="29"/>
      <c r="M64" s="38"/>
      <c r="N64" s="29"/>
      <c r="O64" s="29"/>
      <c r="P64" s="29"/>
      <c r="R64" s="17"/>
      <c r="S64" s="34"/>
      <c r="T64" s="34"/>
      <c r="U64" s="34"/>
      <c r="V64" s="1"/>
    </row>
    <row r="65" spans="1:22" ht="25" customHeight="1">
      <c r="A65" s="81">
        <v>45992</v>
      </c>
      <c r="B65" s="17"/>
      <c r="C65" s="148" t="s">
        <v>139</v>
      </c>
      <c r="D65" s="148" t="s">
        <v>70</v>
      </c>
      <c r="E65" s="258" t="s">
        <v>113</v>
      </c>
      <c r="F65" s="8">
        <f>'Stock Data'!K120</f>
        <v>3556.6099999999997</v>
      </c>
      <c r="G65" s="149">
        <v>3815</v>
      </c>
      <c r="H65" s="8"/>
      <c r="I65" s="135" t="s">
        <v>111</v>
      </c>
      <c r="J65" s="53">
        <f>G65-F65</f>
        <v>258.39000000000033</v>
      </c>
      <c r="K65" s="8">
        <f>Table13[[#This Row],[Total Profit]]*0.4</f>
        <v>103.35600000000014</v>
      </c>
      <c r="L65" s="8">
        <f>Table13[[#This Row],[Total Profit]]*0.6</f>
        <v>155.03400000000019</v>
      </c>
      <c r="M65" s="8"/>
      <c r="N65" s="148"/>
      <c r="O65" s="148" t="s">
        <v>140</v>
      </c>
      <c r="P65" s="148"/>
      <c r="R65" s="17"/>
      <c r="S65" s="34"/>
      <c r="T65" s="34"/>
      <c r="U65" s="34"/>
      <c r="V65" s="1"/>
    </row>
    <row r="66" spans="1:22" ht="25" customHeight="1">
      <c r="A66" s="81">
        <v>45992</v>
      </c>
      <c r="B66" s="17"/>
      <c r="C66" s="148" t="s">
        <v>141</v>
      </c>
      <c r="D66" s="148" t="s">
        <v>142</v>
      </c>
      <c r="E66" s="258" t="s">
        <v>113</v>
      </c>
      <c r="F66" s="8">
        <f>'Stock Data'!K129</f>
        <v>5248.4033333333336</v>
      </c>
      <c r="G66" s="8">
        <v>7495</v>
      </c>
      <c r="H66" s="8"/>
      <c r="I66" s="135" t="s">
        <v>114</v>
      </c>
      <c r="J66" s="53">
        <f>G66-F66</f>
        <v>2246.5966666666664</v>
      </c>
      <c r="K66" s="8">
        <f>Table13[[#This Row],[Total Profit]]/2</f>
        <v>1123.2983333333332</v>
      </c>
      <c r="L66" s="8">
        <f>Table13[[#This Row],[Total Profit]]/2</f>
        <v>1123.2983333333332</v>
      </c>
      <c r="M66" s="8"/>
      <c r="N66" s="148"/>
      <c r="O66" s="148" t="s">
        <v>143</v>
      </c>
      <c r="P66" s="148"/>
      <c r="R66" s="17"/>
      <c r="S66" s="34"/>
      <c r="T66" s="34"/>
      <c r="U66" s="34"/>
      <c r="V66" s="1"/>
    </row>
    <row r="67" spans="1:22" ht="25" customHeight="1">
      <c r="A67" s="81">
        <v>45992</v>
      </c>
      <c r="B67" s="17"/>
      <c r="C67" s="148" t="s">
        <v>144</v>
      </c>
      <c r="D67" s="148" t="s">
        <v>122</v>
      </c>
      <c r="E67" s="258" t="s">
        <v>106</v>
      </c>
      <c r="F67" s="8">
        <f>'Stock Data'!K122</f>
        <v>4818.1433333333334</v>
      </c>
      <c r="G67" s="8">
        <v>5995</v>
      </c>
      <c r="H67" s="8"/>
      <c r="I67" s="135" t="s">
        <v>111</v>
      </c>
      <c r="J67" s="53">
        <f>Table13[[#This Row],[Sold]]-Table13[[#This Row],[Total Cost]]</f>
        <v>1176.8566666666666</v>
      </c>
      <c r="K67" s="8">
        <f>Table13[[#This Row],[Total Profit]]*0.4-12</f>
        <v>458.74266666666665</v>
      </c>
      <c r="L67" s="8">
        <f>Table13[[#This Row],[Total Profit]]*0.6</f>
        <v>706.11399999999992</v>
      </c>
      <c r="M67" s="8"/>
      <c r="N67" s="148"/>
      <c r="O67" s="148" t="s">
        <v>143</v>
      </c>
      <c r="P67" s="148"/>
      <c r="R67" s="17"/>
      <c r="S67" s="34"/>
      <c r="T67" s="34"/>
      <c r="U67" s="34"/>
      <c r="V67" s="1"/>
    </row>
    <row r="68" spans="1:22" ht="24" customHeight="1">
      <c r="A68" s="81">
        <v>45992</v>
      </c>
      <c r="B68" s="17"/>
      <c r="C68" s="148" t="s">
        <v>145</v>
      </c>
      <c r="D68" s="148" t="s">
        <v>146</v>
      </c>
      <c r="E68" s="258" t="s">
        <v>129</v>
      </c>
      <c r="F68" s="8">
        <f>'Stock Data'!K132</f>
        <v>4399.21</v>
      </c>
      <c r="G68" s="8">
        <v>7250</v>
      </c>
      <c r="H68" s="8"/>
      <c r="I68" s="135" t="s">
        <v>114</v>
      </c>
      <c r="J68" s="53">
        <f t="shared" ref="J68:J76" si="3">G68-F68</f>
        <v>2850.79</v>
      </c>
      <c r="K68" s="8">
        <f>Table13[[#This Row],[Total Profit]]/2</f>
        <v>1425.395</v>
      </c>
      <c r="L68" s="8">
        <f>Table13[[#This Row],[Total Profit]]/2</f>
        <v>1425.395</v>
      </c>
      <c r="M68" s="8"/>
      <c r="N68" s="148"/>
      <c r="O68" s="148" t="s">
        <v>143</v>
      </c>
      <c r="P68" s="148"/>
      <c r="R68" s="17"/>
      <c r="S68" s="34"/>
      <c r="T68" s="34"/>
      <c r="U68" s="34"/>
      <c r="V68" s="1"/>
    </row>
    <row r="69" spans="1:22" ht="24" customHeight="1">
      <c r="A69" s="81">
        <v>45992</v>
      </c>
      <c r="B69" s="17"/>
      <c r="C69" s="148" t="s">
        <v>147</v>
      </c>
      <c r="D69" s="148" t="s">
        <v>148</v>
      </c>
      <c r="E69" s="258" t="s">
        <v>107</v>
      </c>
      <c r="F69" s="8">
        <f>'Stock Data'!J123</f>
        <v>8</v>
      </c>
      <c r="G69" s="8">
        <v>1995</v>
      </c>
      <c r="H69" s="8"/>
      <c r="I69" s="135" t="s">
        <v>107</v>
      </c>
      <c r="J69" s="53">
        <f t="shared" si="3"/>
        <v>1987</v>
      </c>
      <c r="K69" s="8"/>
      <c r="L69" s="8">
        <f>Table13[[#This Row],[Total Profit]]-400.01</f>
        <v>1586.99</v>
      </c>
      <c r="M69" s="8"/>
      <c r="N69" s="148"/>
      <c r="O69" s="148" t="s">
        <v>143</v>
      </c>
      <c r="P69" s="148"/>
      <c r="R69" s="17"/>
      <c r="S69" s="34"/>
      <c r="T69" s="34"/>
      <c r="U69" s="34"/>
      <c r="V69" s="1"/>
    </row>
    <row r="70" spans="1:22" ht="24" customHeight="1">
      <c r="A70" s="81">
        <v>45992</v>
      </c>
      <c r="B70" s="17"/>
      <c r="C70" s="148" t="s">
        <v>149</v>
      </c>
      <c r="D70" s="148" t="s">
        <v>150</v>
      </c>
      <c r="E70" s="258" t="s">
        <v>107</v>
      </c>
      <c r="F70" s="8">
        <f>'Stock Data'!K144</f>
        <v>3730.74</v>
      </c>
      <c r="G70" s="8">
        <v>5400</v>
      </c>
      <c r="H70" s="8"/>
      <c r="I70" s="135" t="s">
        <v>107</v>
      </c>
      <c r="J70" s="53">
        <f t="shared" si="3"/>
        <v>1669.2600000000002</v>
      </c>
      <c r="K70" s="8"/>
      <c r="L70" s="8">
        <f>Table13[[#This Row],[Total Profit]]</f>
        <v>1669.2600000000002</v>
      </c>
      <c r="M70" s="8"/>
      <c r="N70" s="148"/>
      <c r="O70" s="148" t="s">
        <v>151</v>
      </c>
      <c r="P70" s="148"/>
    </row>
    <row r="71" spans="1:22" ht="24" customHeight="1">
      <c r="A71" s="81">
        <v>45992</v>
      </c>
      <c r="B71" s="17"/>
      <c r="C71" s="59" t="s">
        <v>152</v>
      </c>
      <c r="D71" s="148" t="s">
        <v>153</v>
      </c>
      <c r="E71" s="258" t="s">
        <v>107</v>
      </c>
      <c r="F71" s="8">
        <f>'Stock Data'!K113</f>
        <v>2571.2166666666667</v>
      </c>
      <c r="G71" s="8">
        <f>'Stock Data'!L113</f>
        <v>3500</v>
      </c>
      <c r="H71" s="8"/>
      <c r="I71" s="135" t="s">
        <v>107</v>
      </c>
      <c r="J71" s="53">
        <f t="shared" si="3"/>
        <v>928.7833333333333</v>
      </c>
      <c r="K71" s="8"/>
      <c r="L71" s="8">
        <f>Table13[[#This Row],[Sold]]-Table13[[#This Row],[Total Cost]]</f>
        <v>928.7833333333333</v>
      </c>
      <c r="M71" s="8"/>
      <c r="N71" s="148" t="s">
        <v>154</v>
      </c>
      <c r="O71" s="148" t="s">
        <v>140</v>
      </c>
      <c r="P71" s="148"/>
    </row>
    <row r="72" spans="1:22" ht="24" customHeight="1">
      <c r="A72" s="81">
        <v>45992</v>
      </c>
      <c r="B72" s="17"/>
      <c r="C72" s="148" t="s">
        <v>155</v>
      </c>
      <c r="D72" s="148" t="s">
        <v>156</v>
      </c>
      <c r="E72" s="258" t="s">
        <v>129</v>
      </c>
      <c r="F72" s="8">
        <f>'Stock Data'!K141</f>
        <v>4528.8</v>
      </c>
      <c r="G72" s="8">
        <f>'Stock Data'!L141</f>
        <v>6595</v>
      </c>
      <c r="H72" s="8"/>
      <c r="I72" s="135" t="s">
        <v>114</v>
      </c>
      <c r="J72" s="53">
        <f t="shared" si="3"/>
        <v>2066.1999999999998</v>
      </c>
      <c r="K72" s="8">
        <f>Table13[[#This Row],[Total Profit]]/2</f>
        <v>1033.0999999999999</v>
      </c>
      <c r="L72" s="8">
        <f>Table13[[#This Row],[Total Profit]]/2</f>
        <v>1033.0999999999999</v>
      </c>
      <c r="M72" s="8"/>
      <c r="N72" s="148"/>
      <c r="O72" s="148"/>
      <c r="P72" s="148"/>
    </row>
    <row r="73" spans="1:22" ht="24" customHeight="1">
      <c r="A73" s="81">
        <v>45992</v>
      </c>
      <c r="B73" s="17"/>
      <c r="C73" s="148" t="s">
        <v>157</v>
      </c>
      <c r="D73" s="148" t="s">
        <v>158</v>
      </c>
      <c r="E73" s="258" t="s">
        <v>113</v>
      </c>
      <c r="F73" s="8">
        <f>'Stock Data'!K125</f>
        <v>4895.8</v>
      </c>
      <c r="G73" s="8">
        <f>'Stock Data'!L125</f>
        <v>7295</v>
      </c>
      <c r="H73" s="8"/>
      <c r="I73" s="135" t="s">
        <v>114</v>
      </c>
      <c r="J73" s="53">
        <f t="shared" si="3"/>
        <v>2399.1999999999998</v>
      </c>
      <c r="K73" s="8">
        <f>Table13[[#This Row],[Total Profit]]/2</f>
        <v>1199.5999999999999</v>
      </c>
      <c r="L73" s="8">
        <f>Table13[[#This Row],[Total Profit]]/2+80</f>
        <v>1279.5999999999999</v>
      </c>
      <c r="M73" s="8"/>
      <c r="N73" s="148"/>
      <c r="O73" s="148"/>
      <c r="P73" s="148"/>
    </row>
    <row r="74" spans="1:22" ht="24" customHeight="1">
      <c r="A74" s="81">
        <v>45992</v>
      </c>
      <c r="B74" s="17"/>
      <c r="C74" s="148" t="s">
        <v>159</v>
      </c>
      <c r="D74" s="148" t="s">
        <v>49</v>
      </c>
      <c r="E74" s="258" t="s">
        <v>125</v>
      </c>
      <c r="F74" s="8">
        <f>'Stock Data'!K139</f>
        <v>6647.9</v>
      </c>
      <c r="G74" s="8">
        <f>'Stock Data'!L139</f>
        <v>9050</v>
      </c>
      <c r="H74" s="8"/>
      <c r="I74" s="135" t="s">
        <v>114</v>
      </c>
      <c r="J74" s="53">
        <f t="shared" si="3"/>
        <v>2402.1000000000004</v>
      </c>
      <c r="K74" s="8">
        <f>Table13[[#This Row],[Total Profit]]/2</f>
        <v>1201.0500000000002</v>
      </c>
      <c r="L74" s="8">
        <f>Table13[[#This Row],[Total Profit]]/2</f>
        <v>1201.0500000000002</v>
      </c>
      <c r="M74" s="8"/>
      <c r="N74" s="148" t="s">
        <v>160</v>
      </c>
      <c r="O74" s="148" t="s">
        <v>143</v>
      </c>
      <c r="P74" s="148"/>
    </row>
    <row r="75" spans="1:22" ht="24" customHeight="1">
      <c r="A75" s="81">
        <v>45992</v>
      </c>
      <c r="B75" s="17"/>
      <c r="C75" s="148" t="s">
        <v>161</v>
      </c>
      <c r="D75" s="148" t="s">
        <v>162</v>
      </c>
      <c r="E75" s="258" t="s">
        <v>107</v>
      </c>
      <c r="F75" s="8">
        <f>'Stock Data'!K119</f>
        <v>6737.99</v>
      </c>
      <c r="G75" s="8">
        <f>'Stock Data'!L119</f>
        <v>9994</v>
      </c>
      <c r="H75" s="8"/>
      <c r="I75" s="135" t="s">
        <v>107</v>
      </c>
      <c r="J75" s="53">
        <f t="shared" si="3"/>
        <v>3256.01</v>
      </c>
      <c r="K75" s="8"/>
      <c r="L75" s="8">
        <f>Table13[[#This Row],[Total Profit]]</f>
        <v>3256.01</v>
      </c>
      <c r="M75" s="8"/>
      <c r="N75" s="148" t="s">
        <v>163</v>
      </c>
      <c r="O75" s="148" t="s">
        <v>143</v>
      </c>
      <c r="P75" s="148"/>
    </row>
    <row r="76" spans="1:22" ht="24" customHeight="1">
      <c r="A76" s="81">
        <v>45992</v>
      </c>
      <c r="B76" s="17"/>
      <c r="C76" s="12" t="s">
        <v>164</v>
      </c>
      <c r="D76" s="5" t="s">
        <v>86</v>
      </c>
      <c r="E76" s="258" t="s">
        <v>107</v>
      </c>
      <c r="F76" s="8">
        <f>'Stock Data'!J124</f>
        <v>783.6099999999999</v>
      </c>
      <c r="G76" s="8">
        <v>2950</v>
      </c>
      <c r="H76" s="8"/>
      <c r="I76" s="135" t="s">
        <v>107</v>
      </c>
      <c r="J76" s="53">
        <f t="shared" si="3"/>
        <v>2166.3900000000003</v>
      </c>
      <c r="K76" s="8"/>
      <c r="L76" s="8">
        <f>Table13[[#This Row],[Total Profit]]</f>
        <v>2166.3900000000003</v>
      </c>
      <c r="M76" s="8"/>
      <c r="N76" s="148"/>
      <c r="O76" s="148"/>
      <c r="P76" s="148"/>
    </row>
    <row r="77" spans="1:22" ht="24" customHeight="1">
      <c r="A77" s="81">
        <v>45992</v>
      </c>
      <c r="B77" s="17"/>
      <c r="C77" s="148"/>
      <c r="D77" s="148"/>
      <c r="E77" s="258"/>
      <c r="F77" s="8"/>
      <c r="G77" s="8"/>
      <c r="H77" s="8"/>
      <c r="I77" s="135"/>
      <c r="J77" s="8"/>
      <c r="K77" s="8"/>
      <c r="L77" s="8"/>
      <c r="M77" s="8"/>
      <c r="N77" s="148"/>
      <c r="O77" s="148"/>
      <c r="P77" s="148"/>
    </row>
    <row r="78" spans="1:22" ht="24" customHeight="1">
      <c r="A78" s="81">
        <v>45992</v>
      </c>
      <c r="B78" s="17"/>
      <c r="C78" s="17"/>
      <c r="D78" s="17"/>
      <c r="E78" s="203"/>
      <c r="F78" s="14"/>
      <c r="G78" s="14"/>
      <c r="H78" s="14"/>
      <c r="I78" s="72" t="s">
        <v>32</v>
      </c>
      <c r="J78" s="73">
        <f>SUM(J65:J76)</f>
        <v>23407.576666666668</v>
      </c>
      <c r="K78" s="73">
        <f>SUM(K65:K76)</f>
        <v>6544.5420000000004</v>
      </c>
      <c r="L78" s="73">
        <f>SUM(L65:L76)</f>
        <v>16531.024666666668</v>
      </c>
      <c r="M78" s="14"/>
      <c r="N78" s="17"/>
      <c r="O78" s="17"/>
      <c r="P78" s="17"/>
    </row>
    <row r="79" spans="1:22" ht="25" customHeight="1">
      <c r="A79" s="126">
        <v>45992</v>
      </c>
      <c r="B79" s="29"/>
      <c r="C79" s="29"/>
      <c r="D79" s="29"/>
      <c r="E79" s="28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spans="1:22" ht="25" customHeight="1">
      <c r="A80" s="81">
        <v>46023</v>
      </c>
      <c r="B80" s="17"/>
      <c r="C80" s="148" t="s">
        <v>165</v>
      </c>
      <c r="D80" s="148" t="s">
        <v>166</v>
      </c>
      <c r="E80" s="258" t="s">
        <v>125</v>
      </c>
      <c r="F80" s="186">
        <f>'Stock Data'!K156</f>
        <v>5602.5433333333331</v>
      </c>
      <c r="G80" s="186">
        <v>7793.28</v>
      </c>
      <c r="H80" s="186"/>
      <c r="I80" s="135" t="s">
        <v>114</v>
      </c>
      <c r="J80" s="201">
        <f>Table13[[#This Row],[Sold]]-Table13[[#This Row],[Total Cost]]</f>
        <v>2190.7366666666667</v>
      </c>
      <c r="K80" s="186">
        <f>Table13[[#This Row],[Total Profit]]/2-100</f>
        <v>995.36833333333334</v>
      </c>
      <c r="L80" s="186">
        <f>Table13[[#This Row],[Total Profit]]/2+100</f>
        <v>1195.3683333333333</v>
      </c>
      <c r="M80" s="186"/>
      <c r="N80" s="202"/>
      <c r="O80" s="17"/>
      <c r="P80" s="17"/>
    </row>
    <row r="81" spans="1:16" ht="25" customHeight="1">
      <c r="A81" s="81">
        <v>46023</v>
      </c>
      <c r="B81" s="17"/>
      <c r="C81" s="12" t="s">
        <v>167</v>
      </c>
      <c r="D81" s="5" t="s">
        <v>168</v>
      </c>
      <c r="E81" s="12" t="s">
        <v>129</v>
      </c>
      <c r="F81" s="186">
        <f>'Stock Data'!K160</f>
        <v>6270.68</v>
      </c>
      <c r="G81" s="186">
        <v>8400</v>
      </c>
      <c r="H81" s="186"/>
      <c r="I81" s="135" t="s">
        <v>114</v>
      </c>
      <c r="J81" s="201">
        <f t="shared" ref="J81:J89" si="4">G81-F81</f>
        <v>2129.3199999999997</v>
      </c>
      <c r="K81" s="186">
        <f>Table13[[#This Row],[Total Profit]]/2-100</f>
        <v>964.65999999999985</v>
      </c>
      <c r="L81" s="186">
        <f>Table13[[#This Row],[Total Profit]]/2+'BMW GT SV63 KKO'!H6+100</f>
        <v>1664.2999999999997</v>
      </c>
      <c r="M81" s="186"/>
      <c r="N81" s="173">
        <v>46036</v>
      </c>
      <c r="O81" s="17"/>
      <c r="P81" s="17"/>
    </row>
    <row r="82" spans="1:16" ht="25" customHeight="1">
      <c r="A82" s="81">
        <v>46023</v>
      </c>
      <c r="B82" s="17"/>
      <c r="C82" s="148" t="s">
        <v>169</v>
      </c>
      <c r="D82" s="148" t="s">
        <v>170</v>
      </c>
      <c r="E82" s="258" t="s">
        <v>113</v>
      </c>
      <c r="F82" s="186">
        <f>'Stock Data'!K155</f>
        <v>5494.46</v>
      </c>
      <c r="G82" s="186">
        <v>8995</v>
      </c>
      <c r="H82" s="186"/>
      <c r="I82" s="135" t="s">
        <v>114</v>
      </c>
      <c r="J82" s="201">
        <f t="shared" si="4"/>
        <v>3500.54</v>
      </c>
      <c r="K82" s="186">
        <f>Table13[[#This Row],[Total Profit]]/2-100</f>
        <v>1650.27</v>
      </c>
      <c r="L82" s="186">
        <f>Table13[[#This Row],[Total Profit]]/2+100</f>
        <v>1850.27</v>
      </c>
      <c r="M82" s="186"/>
      <c r="N82" s="173">
        <v>46038</v>
      </c>
      <c r="O82" s="17"/>
      <c r="P82" s="17"/>
    </row>
    <row r="83" spans="1:16" ht="25" customHeight="1">
      <c r="A83" s="81">
        <v>46023</v>
      </c>
      <c r="B83" s="17"/>
      <c r="C83" s="148" t="s">
        <v>171</v>
      </c>
      <c r="D83" s="148" t="s">
        <v>122</v>
      </c>
      <c r="E83" s="258" t="s">
        <v>107</v>
      </c>
      <c r="F83" s="186">
        <f>'Stock Data'!K157</f>
        <v>2639.28</v>
      </c>
      <c r="G83" s="186">
        <v>3595</v>
      </c>
      <c r="H83" s="186"/>
      <c r="I83" s="223" t="s">
        <v>107</v>
      </c>
      <c r="J83" s="201">
        <f t="shared" si="4"/>
        <v>955.7199999999998</v>
      </c>
      <c r="K83" s="186"/>
      <c r="L83" s="186">
        <f>Table13[[#This Row],[Total Profit]]</f>
        <v>955.7199999999998</v>
      </c>
      <c r="M83" s="186"/>
      <c r="N83" s="173">
        <v>46038</v>
      </c>
      <c r="O83" s="17"/>
      <c r="P83" s="17"/>
    </row>
    <row r="84" spans="1:16" ht="25" customHeight="1">
      <c r="A84" s="81">
        <v>46023</v>
      </c>
      <c r="B84" s="17"/>
      <c r="C84" s="148" t="s">
        <v>172</v>
      </c>
      <c r="D84" s="148" t="s">
        <v>173</v>
      </c>
      <c r="E84" s="258" t="s">
        <v>107</v>
      </c>
      <c r="F84" s="186">
        <f>'Stock Data'!K166</f>
        <v>6541.12</v>
      </c>
      <c r="G84" s="186">
        <v>8495</v>
      </c>
      <c r="H84" s="186"/>
      <c r="I84" s="223" t="s">
        <v>107</v>
      </c>
      <c r="J84" s="201">
        <f t="shared" si="4"/>
        <v>1953.88</v>
      </c>
      <c r="K84" s="186"/>
      <c r="L84" s="186">
        <f>Table13[[#This Row],[Total Profit]]</f>
        <v>1953.88</v>
      </c>
      <c r="M84" s="186"/>
      <c r="N84" s="173">
        <v>46039</v>
      </c>
      <c r="O84" s="17"/>
      <c r="P84" s="17"/>
    </row>
    <row r="85" spans="1:16" ht="25" customHeight="1">
      <c r="A85" s="382">
        <v>46023</v>
      </c>
      <c r="B85" s="148"/>
      <c r="C85" s="148" t="s">
        <v>174</v>
      </c>
      <c r="D85" s="148" t="s">
        <v>175</v>
      </c>
      <c r="E85" s="258" t="s">
        <v>107</v>
      </c>
      <c r="F85" s="186">
        <f>'Stock Data'!K170</f>
        <v>5253.02</v>
      </c>
      <c r="G85" s="186">
        <f>'Stock Data'!L170</f>
        <v>8995</v>
      </c>
      <c r="H85" s="186"/>
      <c r="I85" s="223" t="s">
        <v>107</v>
      </c>
      <c r="J85" s="201">
        <f t="shared" si="4"/>
        <v>3741.9799999999996</v>
      </c>
      <c r="K85" s="186"/>
      <c r="L85" s="186">
        <f>Table13[[#This Row],[Total Profit]]</f>
        <v>3741.9799999999996</v>
      </c>
      <c r="M85" s="186"/>
      <c r="N85" s="173">
        <v>46045</v>
      </c>
      <c r="O85" s="148"/>
      <c r="P85" s="148"/>
    </row>
    <row r="86" spans="1:16" ht="25" customHeight="1">
      <c r="A86" s="81">
        <v>46023</v>
      </c>
      <c r="B86" s="173">
        <v>45975</v>
      </c>
      <c r="C86" s="12" t="s">
        <v>176</v>
      </c>
      <c r="D86" s="5" t="s">
        <v>131</v>
      </c>
      <c r="E86" s="12" t="s">
        <v>129</v>
      </c>
      <c r="F86" s="186">
        <f>'Stock Data'!K152</f>
        <v>4390.79</v>
      </c>
      <c r="G86" s="186">
        <v>7250</v>
      </c>
      <c r="H86" s="186"/>
      <c r="I86" s="135" t="s">
        <v>114</v>
      </c>
      <c r="J86" s="201">
        <f t="shared" si="4"/>
        <v>2859.21</v>
      </c>
      <c r="K86" s="186">
        <f>Table13[[#This Row],[Total Profit]]/2-100</f>
        <v>1329.605</v>
      </c>
      <c r="L86" s="186">
        <f>Table13[[#This Row],[Total Profit]]/2+ 60.88+100</f>
        <v>1590.4850000000001</v>
      </c>
      <c r="M86" s="186"/>
      <c r="N86" s="173">
        <v>46047</v>
      </c>
      <c r="O86" s="17"/>
      <c r="P86" s="17"/>
    </row>
    <row r="87" spans="1:16" ht="25" customHeight="1">
      <c r="A87" s="81">
        <v>46023</v>
      </c>
      <c r="B87" s="173">
        <v>45965</v>
      </c>
      <c r="C87" s="5" t="s">
        <v>177</v>
      </c>
      <c r="D87" s="5" t="s">
        <v>178</v>
      </c>
      <c r="E87" s="12" t="s">
        <v>107</v>
      </c>
      <c r="F87" s="186">
        <f>'Stock Data'!K150</f>
        <v>8361.51</v>
      </c>
      <c r="G87" s="186">
        <v>8295</v>
      </c>
      <c r="H87" s="186">
        <v>1500</v>
      </c>
      <c r="I87" s="135" t="s">
        <v>107</v>
      </c>
      <c r="J87" s="269">
        <f t="shared" si="4"/>
        <v>-66.510000000000218</v>
      </c>
      <c r="K87" s="186"/>
      <c r="L87" s="269">
        <f>Table13[[#This Row],[Total Profit]]</f>
        <v>-66.510000000000218</v>
      </c>
      <c r="M87" s="186"/>
      <c r="N87" s="173">
        <v>46050</v>
      </c>
      <c r="O87" s="17"/>
      <c r="P87" s="17"/>
    </row>
    <row r="88" spans="1:16" ht="25" customHeight="1">
      <c r="A88" s="81">
        <v>46023</v>
      </c>
      <c r="B88" s="173">
        <v>46050</v>
      </c>
      <c r="C88" s="12" t="s">
        <v>179</v>
      </c>
      <c r="D88" s="5" t="s">
        <v>180</v>
      </c>
      <c r="E88" s="258" t="s">
        <v>107</v>
      </c>
      <c r="F88" s="186">
        <f>'Stock Data'!K173</f>
        <v>1328.74</v>
      </c>
      <c r="G88" s="186">
        <v>2000</v>
      </c>
      <c r="H88" s="186"/>
      <c r="I88" s="135" t="s">
        <v>107</v>
      </c>
      <c r="J88" s="201">
        <f t="shared" si="4"/>
        <v>671.26</v>
      </c>
      <c r="K88" s="186"/>
      <c r="L88" s="186">
        <f>Table13[[#This Row],[Total Profit]]</f>
        <v>671.26</v>
      </c>
      <c r="M88" s="186"/>
      <c r="N88" s="173">
        <v>46053</v>
      </c>
      <c r="O88" s="17"/>
      <c r="P88" s="17"/>
    </row>
    <row r="89" spans="1:16" ht="25" customHeight="1">
      <c r="A89" s="81">
        <v>46023</v>
      </c>
      <c r="B89" s="173">
        <v>45983</v>
      </c>
      <c r="C89" s="148" t="s">
        <v>181</v>
      </c>
      <c r="D89" s="148" t="s">
        <v>182</v>
      </c>
      <c r="E89" s="258" t="s">
        <v>125</v>
      </c>
      <c r="F89" s="186">
        <f>'Stock Data'!K149</f>
        <v>4783.32</v>
      </c>
      <c r="G89" s="186">
        <v>6995</v>
      </c>
      <c r="H89" s="186"/>
      <c r="I89" s="135" t="s">
        <v>114</v>
      </c>
      <c r="J89" s="201">
        <f t="shared" si="4"/>
        <v>2211.6800000000003</v>
      </c>
      <c r="K89" s="186">
        <f>Table13[[#This Row],[Total Profit]]/2-100</f>
        <v>1005.8400000000001</v>
      </c>
      <c r="L89" s="186">
        <f>Table13[[#This Row],[Total Profit]]/2+100</f>
        <v>1205.8400000000001</v>
      </c>
      <c r="M89" s="186"/>
      <c r="N89" s="191"/>
      <c r="O89" s="17"/>
      <c r="P89" s="17"/>
    </row>
    <row r="90" spans="1:16" ht="25" customHeight="1">
      <c r="A90" s="81">
        <v>46023</v>
      </c>
      <c r="B90" s="148"/>
      <c r="C90" s="148"/>
      <c r="D90" s="148"/>
      <c r="E90" s="258"/>
      <c r="F90" s="186"/>
      <c r="G90" s="186"/>
      <c r="H90" s="186"/>
      <c r="I90" s="135"/>
      <c r="J90" s="201"/>
      <c r="K90" s="186"/>
      <c r="L90" s="186"/>
      <c r="M90" s="8"/>
      <c r="N90" s="191"/>
      <c r="O90" s="17"/>
      <c r="P90" s="17"/>
    </row>
    <row r="91" spans="1:16" ht="25" customHeight="1">
      <c r="A91" s="81">
        <v>46023</v>
      </c>
      <c r="B91" s="17"/>
      <c r="C91" s="17"/>
      <c r="D91" s="17"/>
      <c r="E91" s="293"/>
      <c r="F91" s="186"/>
      <c r="G91" s="186"/>
      <c r="H91" s="186"/>
      <c r="I91" s="72" t="s">
        <v>32</v>
      </c>
      <c r="J91" s="73">
        <f>SUM(J80:J89)</f>
        <v>20147.816666666662</v>
      </c>
      <c r="K91" s="73">
        <f>SUM(K80:K89)</f>
        <v>5945.7433333333338</v>
      </c>
      <c r="L91" s="73">
        <f>SUM(L80:L89)</f>
        <v>14762.593333333334</v>
      </c>
      <c r="M91" s="186"/>
      <c r="N91" s="191"/>
      <c r="O91" s="17"/>
      <c r="P91" s="17"/>
    </row>
    <row r="92" spans="1:16" ht="25" customHeight="1">
      <c r="A92" s="126">
        <v>46023</v>
      </c>
      <c r="B92" s="29"/>
      <c r="C92" s="29"/>
      <c r="D92" s="29"/>
      <c r="E92" s="294"/>
      <c r="F92" s="193"/>
      <c r="G92" s="193"/>
      <c r="H92" s="193"/>
      <c r="I92" s="193"/>
      <c r="J92" s="193"/>
      <c r="K92" s="193"/>
      <c r="L92" s="193"/>
      <c r="M92" s="193"/>
      <c r="N92" s="192"/>
      <c r="O92" s="29"/>
      <c r="P92" s="29"/>
    </row>
    <row r="93" spans="1:16" ht="25" customHeight="1">
      <c r="A93" s="81">
        <v>46054</v>
      </c>
      <c r="B93" s="173">
        <v>46031</v>
      </c>
      <c r="C93" s="148" t="s">
        <v>183</v>
      </c>
      <c r="D93" s="148" t="s">
        <v>184</v>
      </c>
      <c r="E93" s="258" t="s">
        <v>107</v>
      </c>
      <c r="F93" s="186">
        <f>'Stock Data'!K186</f>
        <v>8246.15</v>
      </c>
      <c r="G93" s="186">
        <v>6500</v>
      </c>
      <c r="H93" s="186">
        <v>4000</v>
      </c>
      <c r="I93" s="135" t="s">
        <v>107</v>
      </c>
      <c r="J93" s="268">
        <f t="shared" ref="J93:J102" si="5">G93-F93</f>
        <v>-1746.1499999999996</v>
      </c>
      <c r="K93" s="186"/>
      <c r="L93" s="269">
        <f>Table13[[#This Row],[Total Profit]]</f>
        <v>-1746.1499999999996</v>
      </c>
      <c r="M93" s="186"/>
      <c r="N93" s="173">
        <v>46054</v>
      </c>
      <c r="O93" s="17"/>
      <c r="P93" s="17"/>
    </row>
    <row r="94" spans="1:16" ht="25" customHeight="1">
      <c r="A94" s="81">
        <v>46054</v>
      </c>
      <c r="B94" s="173">
        <v>45989</v>
      </c>
      <c r="C94" s="12" t="s">
        <v>185</v>
      </c>
      <c r="D94" s="5" t="s">
        <v>186</v>
      </c>
      <c r="E94" s="12" t="s">
        <v>113</v>
      </c>
      <c r="F94" s="186">
        <f>'Stock Data'!K176</f>
        <v>5732.32</v>
      </c>
      <c r="G94" s="186">
        <v>7995</v>
      </c>
      <c r="H94" s="186"/>
      <c r="I94" s="135" t="s">
        <v>114</v>
      </c>
      <c r="J94" s="201">
        <f t="shared" si="5"/>
        <v>2262.6800000000003</v>
      </c>
      <c r="K94" s="186">
        <f>Table13[[#This Row],[Total Profit]]/2-100</f>
        <v>1031.3400000000001</v>
      </c>
      <c r="L94" s="201">
        <f>Table13[[#This Row],[Total Profit]]/2+99+120+100</f>
        <v>1450.3400000000001</v>
      </c>
      <c r="M94" s="186"/>
      <c r="N94" s="173">
        <v>46055</v>
      </c>
      <c r="O94" s="17"/>
      <c r="P94" s="17"/>
    </row>
    <row r="95" spans="1:16" ht="25" customHeight="1">
      <c r="A95" s="81">
        <v>46054</v>
      </c>
      <c r="B95" s="173">
        <v>46000</v>
      </c>
      <c r="C95" s="12" t="s">
        <v>187</v>
      </c>
      <c r="D95" s="5" t="s">
        <v>119</v>
      </c>
      <c r="E95" s="12" t="s">
        <v>106</v>
      </c>
      <c r="F95" s="186">
        <f>'Stock Data'!K181</f>
        <v>2850.71</v>
      </c>
      <c r="G95" s="186">
        <v>5375</v>
      </c>
      <c r="H95" s="186"/>
      <c r="I95" s="135" t="s">
        <v>188</v>
      </c>
      <c r="J95" s="201">
        <f t="shared" si="5"/>
        <v>2524.29</v>
      </c>
      <c r="K95" s="186">
        <f>Table13[[#This Row],[Total Profit]]*0.3</f>
        <v>757.28699999999992</v>
      </c>
      <c r="L95" s="186">
        <f>Table13[[#This Row],[Total Profit]]-Table13[[#This Row],[Investor Profit]]</f>
        <v>1767.0030000000002</v>
      </c>
      <c r="M95" s="186"/>
      <c r="N95" s="173">
        <v>46060</v>
      </c>
      <c r="O95" s="148"/>
      <c r="P95" s="148"/>
    </row>
    <row r="96" spans="1:16" ht="25" customHeight="1">
      <c r="A96" s="81">
        <v>46054</v>
      </c>
      <c r="B96" s="173">
        <v>46057</v>
      </c>
      <c r="C96" s="6" t="s">
        <v>189</v>
      </c>
      <c r="D96" s="6" t="s">
        <v>190</v>
      </c>
      <c r="E96" s="173" t="s">
        <v>110</v>
      </c>
      <c r="F96" s="186">
        <f>'Stock Data'!K196</f>
        <v>4187.38</v>
      </c>
      <c r="G96" s="186">
        <f>'Stock Data'!L196</f>
        <v>6394.29</v>
      </c>
      <c r="H96" s="186"/>
      <c r="I96" s="135" t="s">
        <v>188</v>
      </c>
      <c r="J96" s="201">
        <f t="shared" si="5"/>
        <v>2206.91</v>
      </c>
      <c r="K96" s="186">
        <f>Table13[[#This Row],[Total Profit]]*0.3</f>
        <v>662.07299999999998</v>
      </c>
      <c r="L96" s="186">
        <f>Table13[[#This Row],[Total Profit]]-Table13[[#This Row],[Investor Profit]]</f>
        <v>1544.837</v>
      </c>
      <c r="M96" s="186"/>
      <c r="N96" s="173">
        <v>46065</v>
      </c>
      <c r="O96" s="148"/>
      <c r="P96" s="148"/>
    </row>
    <row r="97" spans="1:16" ht="25" customHeight="1">
      <c r="A97" s="81">
        <v>46054</v>
      </c>
      <c r="B97" s="173">
        <v>46057</v>
      </c>
      <c r="C97" s="6" t="s">
        <v>191</v>
      </c>
      <c r="D97" s="6" t="s">
        <v>131</v>
      </c>
      <c r="E97" s="173" t="s">
        <v>113</v>
      </c>
      <c r="F97" s="186">
        <f>'Stock Data'!K195+120</f>
        <v>7792.2</v>
      </c>
      <c r="G97" s="186">
        <v>9795</v>
      </c>
      <c r="H97" s="186"/>
      <c r="I97" s="135" t="s">
        <v>192</v>
      </c>
      <c r="J97" s="201">
        <f t="shared" si="5"/>
        <v>2002.8000000000002</v>
      </c>
      <c r="K97" s="186">
        <f>Table13[[#This Row],[Total Profit]]*0.35</f>
        <v>700.98</v>
      </c>
      <c r="L97" s="269">
        <f>(6995-Table13[[#This Row],[Total Cost]])*0.65-Table13[[#This Row],[Investor Profit]]</f>
        <v>-1219.1599999999999</v>
      </c>
      <c r="M97" s="186"/>
      <c r="N97" s="191"/>
      <c r="O97" s="148"/>
      <c r="P97" s="148"/>
    </row>
    <row r="98" spans="1:16" ht="25" customHeight="1">
      <c r="A98" s="81">
        <v>46054</v>
      </c>
      <c r="B98" s="173">
        <v>46060</v>
      </c>
      <c r="C98" s="6" t="s">
        <v>193</v>
      </c>
      <c r="D98" s="6" t="s">
        <v>194</v>
      </c>
      <c r="E98" s="173" t="s">
        <v>125</v>
      </c>
      <c r="F98" s="186">
        <f>'Stock Data'!K200</f>
        <v>5238.0349999999999</v>
      </c>
      <c r="G98" s="186">
        <v>6995</v>
      </c>
      <c r="H98" s="186"/>
      <c r="I98" s="135" t="s">
        <v>192</v>
      </c>
      <c r="J98" s="201">
        <f t="shared" si="5"/>
        <v>1756.9650000000001</v>
      </c>
      <c r="K98" s="186">
        <f>Table13[[#This Row],[Total Profit]]*0.35</f>
        <v>614.93775000000005</v>
      </c>
      <c r="L98" s="186">
        <f>Table13[[#This Row],[Total Profit]]-Table13[[#This Row],[Investor Profit]]</f>
        <v>1142.0272500000001</v>
      </c>
      <c r="M98" s="148"/>
      <c r="N98" s="258"/>
      <c r="O98" s="148"/>
      <c r="P98" s="148"/>
    </row>
    <row r="99" spans="1:16" ht="25" customHeight="1">
      <c r="A99" s="81">
        <v>46054</v>
      </c>
      <c r="B99" s="173">
        <v>45975</v>
      </c>
      <c r="C99" s="12" t="s">
        <v>195</v>
      </c>
      <c r="D99" s="5" t="s">
        <v>122</v>
      </c>
      <c r="E99" s="12" t="s">
        <v>110</v>
      </c>
      <c r="F99" s="186">
        <f>'Stock Data'!K179</f>
        <v>4279.18</v>
      </c>
      <c r="G99" s="186">
        <v>5400</v>
      </c>
      <c r="H99" s="186"/>
      <c r="I99" s="135" t="s">
        <v>114</v>
      </c>
      <c r="J99" s="201">
        <f t="shared" si="5"/>
        <v>1120.8199999999997</v>
      </c>
      <c r="K99" s="186">
        <f>Table13[[#This Row],[Total Profit]]/2-100</f>
        <v>460.40999999999985</v>
      </c>
      <c r="L99" s="186">
        <f>Table13[[#This Row],[Total Profit]]/2+100</f>
        <v>660.40999999999985</v>
      </c>
      <c r="M99" s="148"/>
      <c r="N99" s="258"/>
      <c r="O99" s="148"/>
      <c r="P99" s="148"/>
    </row>
    <row r="100" spans="1:16" ht="25" customHeight="1">
      <c r="A100" s="81">
        <v>46054</v>
      </c>
      <c r="B100" s="173">
        <v>45985</v>
      </c>
      <c r="C100" s="12" t="s">
        <v>196</v>
      </c>
      <c r="D100" s="5" t="s">
        <v>197</v>
      </c>
      <c r="E100" s="12" t="s">
        <v>110</v>
      </c>
      <c r="F100" s="186">
        <f>'Stock Data'!K178</f>
        <v>3526.9366666666665</v>
      </c>
      <c r="G100" s="186">
        <v>5000</v>
      </c>
      <c r="H100" s="186"/>
      <c r="I100" s="135" t="s">
        <v>114</v>
      </c>
      <c r="J100" s="201">
        <f t="shared" si="5"/>
        <v>1473.0633333333335</v>
      </c>
      <c r="K100" s="186">
        <f>Table13[[#This Row],[Total Profit]]/2-100</f>
        <v>636.53166666666675</v>
      </c>
      <c r="L100" s="186">
        <f>Table13[[#This Row],[Total Profit]]/2+100+(180-83.74)</f>
        <v>932.79166666666674</v>
      </c>
      <c r="M100" s="148"/>
      <c r="N100" s="258"/>
      <c r="O100" s="148"/>
      <c r="P100" s="148"/>
    </row>
    <row r="101" spans="1:16" ht="25" customHeight="1">
      <c r="A101" s="81">
        <v>46054</v>
      </c>
      <c r="B101" s="173">
        <v>45993</v>
      </c>
      <c r="C101" s="12" t="s">
        <v>198</v>
      </c>
      <c r="D101" s="5" t="s">
        <v>199</v>
      </c>
      <c r="E101" s="12" t="s">
        <v>110</v>
      </c>
      <c r="F101" s="186">
        <f>'Stock Data'!K180</f>
        <v>4642.5200000000004</v>
      </c>
      <c r="G101" s="186">
        <v>5795</v>
      </c>
      <c r="H101" s="186"/>
      <c r="I101" s="135" t="s">
        <v>114</v>
      </c>
      <c r="J101" s="201">
        <f t="shared" si="5"/>
        <v>1152.4799999999996</v>
      </c>
      <c r="K101" s="186">
        <f>Table13[[#This Row],[Total Profit]]/2-100</f>
        <v>476.23999999999978</v>
      </c>
      <c r="L101" s="186">
        <f>Table13[[#This Row],[Total Profit]]/2+100</f>
        <v>676.23999999999978</v>
      </c>
      <c r="M101" s="148"/>
      <c r="N101" s="148"/>
      <c r="O101" s="148"/>
      <c r="P101" s="148"/>
    </row>
    <row r="102" spans="1:16" ht="25" customHeight="1">
      <c r="A102" s="81">
        <v>46054</v>
      </c>
      <c r="B102" s="173">
        <v>46054</v>
      </c>
      <c r="C102" s="12" t="s">
        <v>200</v>
      </c>
      <c r="D102" s="6" t="s">
        <v>201</v>
      </c>
      <c r="E102" s="173" t="s">
        <v>107</v>
      </c>
      <c r="F102" s="186">
        <f>'Stock Data'!K192</f>
        <v>781.27</v>
      </c>
      <c r="G102" s="186">
        <v>3000</v>
      </c>
      <c r="I102" s="135" t="s">
        <v>107</v>
      </c>
      <c r="J102" s="201">
        <f t="shared" si="5"/>
        <v>2218.73</v>
      </c>
      <c r="K102" s="186"/>
      <c r="L102" s="285">
        <f>Table13[[#This Row],[Total Profit]]+L87</f>
        <v>2152.2199999999998</v>
      </c>
      <c r="M102" s="148"/>
      <c r="N102" s="148" t="s">
        <v>202</v>
      </c>
      <c r="O102" s="148"/>
      <c r="P102" s="148"/>
    </row>
    <row r="103" spans="1:16" ht="25" customHeight="1">
      <c r="A103" s="81">
        <v>46054</v>
      </c>
      <c r="B103" s="240"/>
      <c r="C103" s="148"/>
      <c r="D103" s="148"/>
      <c r="E103" s="258"/>
      <c r="F103" s="186"/>
      <c r="G103" s="186"/>
      <c r="H103" s="186"/>
      <c r="I103" s="186"/>
      <c r="J103" s="186"/>
      <c r="K103" s="186"/>
      <c r="L103" s="148"/>
      <c r="M103" s="148"/>
      <c r="N103" s="258"/>
      <c r="O103" s="148"/>
      <c r="P103" s="148"/>
    </row>
    <row r="104" spans="1:16" ht="25" customHeight="1">
      <c r="A104" s="81">
        <v>46054</v>
      </c>
      <c r="B104" s="240"/>
      <c r="C104" s="17"/>
      <c r="D104" s="17"/>
      <c r="E104" s="203"/>
      <c r="F104" s="186"/>
      <c r="G104" s="187"/>
      <c r="H104" s="187"/>
      <c r="I104" s="72" t="s">
        <v>32</v>
      </c>
      <c r="J104" s="73">
        <f>SUM(J93:J102)</f>
        <v>14972.588333333333</v>
      </c>
      <c r="K104" s="73">
        <f>SUM(K93:K102)</f>
        <v>5339.7994166666658</v>
      </c>
      <c r="L104" s="73">
        <f>SUM(L93:L102)</f>
        <v>7360.5589166666668</v>
      </c>
      <c r="M104" s="17"/>
      <c r="N104" s="203"/>
      <c r="O104" s="17"/>
      <c r="P104" s="17"/>
    </row>
    <row r="105" spans="1:16" ht="25" customHeight="1">
      <c r="A105" s="126">
        <v>46054</v>
      </c>
      <c r="B105" s="176"/>
      <c r="C105" s="29"/>
      <c r="D105" s="29"/>
      <c r="E105" s="280"/>
      <c r="F105" s="193"/>
      <c r="G105" s="185"/>
      <c r="H105" s="185"/>
      <c r="I105" s="185"/>
      <c r="J105" s="185"/>
      <c r="K105" s="185"/>
      <c r="L105" s="29"/>
      <c r="M105" s="29"/>
      <c r="N105" s="280"/>
      <c r="O105" s="29"/>
      <c r="P105" s="29"/>
    </row>
    <row r="106" spans="1:16" ht="25" customHeight="1">
      <c r="A106" s="81">
        <v>46082</v>
      </c>
      <c r="B106" s="173">
        <v>46006</v>
      </c>
      <c r="C106" s="12" t="s">
        <v>203</v>
      </c>
      <c r="D106" s="5" t="s">
        <v>148</v>
      </c>
      <c r="E106" s="12" t="s">
        <v>129</v>
      </c>
      <c r="F106" s="186">
        <f>'Stock Data'!K216</f>
        <v>6493.7</v>
      </c>
      <c r="G106" s="186">
        <v>8465</v>
      </c>
      <c r="H106" s="186"/>
      <c r="I106" s="135" t="s">
        <v>114</v>
      </c>
      <c r="J106" s="201">
        <f>G106-F106</f>
        <v>1971.3000000000002</v>
      </c>
      <c r="K106" s="186">
        <f>Table13[[#This Row],[Total Profit]]/2-158</f>
        <v>827.65000000000009</v>
      </c>
      <c r="L106" s="186">
        <f>Table13[[#This Row],[Total Profit]]/2+158</f>
        <v>1143.6500000000001</v>
      </c>
      <c r="M106" s="148"/>
      <c r="N106" s="258" t="s">
        <v>204</v>
      </c>
      <c r="O106" s="148"/>
      <c r="P106" s="148"/>
    </row>
    <row r="107" spans="1:16" ht="25" customHeight="1">
      <c r="A107" s="81">
        <v>46082</v>
      </c>
      <c r="B107" s="173">
        <v>46050</v>
      </c>
      <c r="C107" s="12" t="s">
        <v>205</v>
      </c>
      <c r="D107" s="12" t="s">
        <v>206</v>
      </c>
      <c r="E107" s="12" t="s">
        <v>107</v>
      </c>
      <c r="F107" s="186">
        <f>'Stock Data'!K222</f>
        <v>6388.24</v>
      </c>
      <c r="G107" s="186">
        <v>3295</v>
      </c>
      <c r="H107" s="186">
        <v>5500</v>
      </c>
      <c r="I107" s="135" t="s">
        <v>107</v>
      </c>
      <c r="J107" s="201">
        <f>G107-F107</f>
        <v>-3093.24</v>
      </c>
      <c r="K107" s="186"/>
      <c r="L107" s="269">
        <f>Table13[[#This Row],[Total Profit]]</f>
        <v>-3093.24</v>
      </c>
      <c r="M107" s="148"/>
      <c r="N107" s="258" t="s">
        <v>207</v>
      </c>
      <c r="O107" s="148"/>
      <c r="P107" s="148"/>
    </row>
    <row r="108" spans="1:16" ht="25" customHeight="1">
      <c r="A108" s="81">
        <v>46082</v>
      </c>
      <c r="B108" s="173">
        <v>46059</v>
      </c>
      <c r="C108" s="6" t="s">
        <v>208</v>
      </c>
      <c r="D108" s="6" t="s">
        <v>209</v>
      </c>
      <c r="E108" s="173" t="s">
        <v>125</v>
      </c>
      <c r="F108" s="186">
        <f>'Stock Data'!K226</f>
        <v>5336.28</v>
      </c>
      <c r="G108" s="186">
        <v>7200</v>
      </c>
      <c r="H108" s="186"/>
      <c r="I108" s="135" t="s">
        <v>192</v>
      </c>
      <c r="J108" s="201">
        <f>G108-F108</f>
        <v>1863.7200000000003</v>
      </c>
      <c r="K108" s="186">
        <f>Table13[[#This Row],[Total Profit]]*0.35</f>
        <v>652.30200000000002</v>
      </c>
      <c r="L108" s="186">
        <f>Table13[[#This Row],[Total Profit]]-Table13[[#This Row],[Investor Profit]]</f>
        <v>1211.4180000000001</v>
      </c>
      <c r="M108" s="148"/>
      <c r="N108" s="258" t="s">
        <v>210</v>
      </c>
      <c r="O108" s="148"/>
      <c r="P108" s="148"/>
    </row>
    <row r="109" spans="1:16" ht="25" customHeight="1">
      <c r="A109" s="81">
        <v>46082</v>
      </c>
      <c r="B109" s="173">
        <v>46062</v>
      </c>
      <c r="C109" s="12" t="s">
        <v>211</v>
      </c>
      <c r="D109" s="12" t="s">
        <v>212</v>
      </c>
      <c r="E109" s="12" t="s">
        <v>129</v>
      </c>
      <c r="F109" s="186">
        <f>'Stock Data'!K229</f>
        <v>8231.48</v>
      </c>
      <c r="G109" s="186">
        <v>10995</v>
      </c>
      <c r="H109" s="186"/>
      <c r="I109" s="135" t="s">
        <v>114</v>
      </c>
      <c r="J109" s="201">
        <f>G109-F109</f>
        <v>2763.5200000000004</v>
      </c>
      <c r="K109" s="186">
        <f>Table13[[#This Row],[Total Profit]]/2-158</f>
        <v>1223.7600000000002</v>
      </c>
      <c r="L109" s="186">
        <f>Table13[[#This Row],[Total Profit]]/2+158</f>
        <v>1539.7600000000002</v>
      </c>
      <c r="M109" s="148"/>
      <c r="N109" s="258" t="s">
        <v>213</v>
      </c>
      <c r="O109" s="148"/>
      <c r="P109" s="148"/>
    </row>
    <row r="110" spans="1:16" ht="25" customHeight="1">
      <c r="A110" s="81">
        <v>46082</v>
      </c>
      <c r="B110" s="5" t="s">
        <v>214</v>
      </c>
      <c r="C110" s="12" t="s">
        <v>215</v>
      </c>
      <c r="D110" s="5" t="s">
        <v>216</v>
      </c>
      <c r="E110" s="12" t="s">
        <v>110</v>
      </c>
      <c r="F110" s="186">
        <f>'Stock Data'!K237</f>
        <v>4606.41</v>
      </c>
      <c r="G110" s="186">
        <v>7495</v>
      </c>
      <c r="H110" s="186"/>
      <c r="I110" s="135" t="s">
        <v>188</v>
      </c>
      <c r="J110" s="201">
        <f>G110-F110</f>
        <v>2888.59</v>
      </c>
      <c r="K110" s="186">
        <f>Table13[[#This Row],[Total Profit]]*0.3</f>
        <v>866.577</v>
      </c>
      <c r="L110" s="186">
        <f>Table13[[#This Row],[Total Profit]]-Table13[[#This Row],[Investor Profit]]</f>
        <v>2022.0130000000001</v>
      </c>
      <c r="M110" s="148"/>
      <c r="N110" s="258" t="s">
        <v>217</v>
      </c>
      <c r="O110" s="148"/>
      <c r="P110" s="148"/>
    </row>
    <row r="111" spans="1:16" ht="25" customHeight="1">
      <c r="A111" s="81">
        <v>46082</v>
      </c>
      <c r="B111" s="173">
        <v>46073</v>
      </c>
      <c r="C111" s="12" t="s">
        <v>218</v>
      </c>
      <c r="D111" s="12" t="s">
        <v>219</v>
      </c>
      <c r="E111" s="12" t="s">
        <v>113</v>
      </c>
      <c r="F111" s="186">
        <f>'Stock Data'!K235</f>
        <v>7508.91</v>
      </c>
      <c r="G111" s="186">
        <v>10800</v>
      </c>
      <c r="H111" s="186"/>
      <c r="I111" s="135" t="s">
        <v>192</v>
      </c>
      <c r="J111" s="201">
        <f>Table13[[#This Row],[Sold]]-Table13[[#This Row],[Total Cost]]</f>
        <v>3291.09</v>
      </c>
      <c r="K111" s="186">
        <f>Table13[[#This Row],[Total Profit]]*0.35</f>
        <v>1151.8815</v>
      </c>
      <c r="L111" s="186">
        <f>Table13[[#This Row],[Total Profit]]*0.65</f>
        <v>2139.2085000000002</v>
      </c>
      <c r="M111" s="148"/>
      <c r="N111" s="258" t="s">
        <v>220</v>
      </c>
      <c r="O111" s="148"/>
      <c r="P111" s="148"/>
    </row>
    <row r="112" spans="1:16" ht="25" customHeight="1">
      <c r="A112" s="81">
        <v>46082</v>
      </c>
      <c r="B112" s="173">
        <v>46055</v>
      </c>
      <c r="C112" s="6" t="s">
        <v>221</v>
      </c>
      <c r="D112" s="6" t="s">
        <v>128</v>
      </c>
      <c r="E112" s="173" t="s">
        <v>110</v>
      </c>
      <c r="F112" s="186">
        <f>'Stock Data'!K225</f>
        <v>5947.61</v>
      </c>
      <c r="G112" s="186">
        <v>7995</v>
      </c>
      <c r="H112" s="186"/>
      <c r="I112" s="135" t="s">
        <v>188</v>
      </c>
      <c r="J112" s="201">
        <f>G112-F112</f>
        <v>2047.3900000000003</v>
      </c>
      <c r="K112" s="186">
        <f>Table13[[#This Row],[Total Profit]]*0.3</f>
        <v>614.2170000000001</v>
      </c>
      <c r="L112" s="186">
        <f>Table13[[#This Row],[Total Profit]]-Table13[[#This Row],[Investor Profit]]</f>
        <v>1433.1730000000002</v>
      </c>
      <c r="M112" s="148"/>
      <c r="N112" s="258" t="s">
        <v>222</v>
      </c>
      <c r="O112" s="148"/>
      <c r="P112" s="148"/>
    </row>
    <row r="113" spans="1:16" ht="25" customHeight="1">
      <c r="A113" s="81">
        <v>46082</v>
      </c>
      <c r="B113" s="175">
        <v>46077</v>
      </c>
      <c r="C113" s="59" t="s">
        <v>223</v>
      </c>
      <c r="D113" s="6" t="s">
        <v>128</v>
      </c>
      <c r="E113" s="59" t="s">
        <v>125</v>
      </c>
      <c r="F113" s="278">
        <f>'Stock Data'!K239</f>
        <v>4625.13</v>
      </c>
      <c r="G113" s="186">
        <v>7250</v>
      </c>
      <c r="H113" s="186"/>
      <c r="I113" s="135" t="s">
        <v>192</v>
      </c>
      <c r="J113" s="201">
        <f>Table13[[#This Row],[Sold]]-Table13[[#This Row],[Total Cost]]</f>
        <v>2624.87</v>
      </c>
      <c r="K113" s="186">
        <f>Table13[[#This Row],[Total Profit]]*0.35</f>
        <v>918.70449999999994</v>
      </c>
      <c r="L113" s="186">
        <f>Table13[[#This Row],[Total Profit]]*0.65</f>
        <v>1706.1655000000001</v>
      </c>
      <c r="M113" s="148"/>
      <c r="N113" s="258" t="s">
        <v>224</v>
      </c>
      <c r="O113" s="148"/>
      <c r="P113" s="148"/>
    </row>
    <row r="114" spans="1:16" ht="25" customHeight="1">
      <c r="A114" s="281">
        <v>46082</v>
      </c>
      <c r="B114" s="177">
        <v>46022</v>
      </c>
      <c r="C114" s="142" t="s">
        <v>225</v>
      </c>
      <c r="D114" s="142" t="s">
        <v>226</v>
      </c>
      <c r="E114" s="142" t="s">
        <v>129</v>
      </c>
      <c r="F114" s="194">
        <f>'Stock Data'!K218</f>
        <v>6497.88</v>
      </c>
      <c r="G114" s="194">
        <v>8650</v>
      </c>
      <c r="H114" s="194"/>
      <c r="I114" s="135" t="s">
        <v>114</v>
      </c>
      <c r="J114" s="201">
        <f t="shared" ref="J114:J119" si="6">G114-F114</f>
        <v>2152.12</v>
      </c>
      <c r="K114" s="186">
        <f>Table13[[#This Row],[Total Profit]]/2-158</f>
        <v>918.06</v>
      </c>
      <c r="L114" s="186">
        <f>Table13[[#This Row],[Total Profit]]/2+158</f>
        <v>1234.06</v>
      </c>
      <c r="M114" s="148"/>
      <c r="N114" s="288" t="s">
        <v>227</v>
      </c>
      <c r="O114" s="287"/>
      <c r="P114" s="287"/>
    </row>
    <row r="115" spans="1:16" ht="25" customHeight="1">
      <c r="A115" s="281">
        <v>46082</v>
      </c>
      <c r="B115" s="173">
        <v>46066</v>
      </c>
      <c r="C115" s="12" t="s">
        <v>228</v>
      </c>
      <c r="D115" s="12" t="s">
        <v>229</v>
      </c>
      <c r="E115" s="142" t="s">
        <v>129</v>
      </c>
      <c r="F115" s="194">
        <f>'Stock Data'!K230</f>
        <v>5510.52</v>
      </c>
      <c r="G115" s="194">
        <v>7795</v>
      </c>
      <c r="H115" s="288"/>
      <c r="I115" s="135" t="s">
        <v>114</v>
      </c>
      <c r="J115" s="201">
        <f t="shared" si="6"/>
        <v>2284.4799999999996</v>
      </c>
      <c r="K115" s="186">
        <f>Table13[[#This Row],[Total Profit]]/2-158</f>
        <v>984.23999999999978</v>
      </c>
      <c r="L115" s="186">
        <f>Table13[[#This Row],[Total Profit]]/2+158</f>
        <v>1300.2399999999998</v>
      </c>
      <c r="M115" s="288"/>
      <c r="N115" s="288"/>
      <c r="O115" s="287"/>
      <c r="P115" s="287"/>
    </row>
    <row r="116" spans="1:16" ht="25" customHeight="1">
      <c r="A116" s="281">
        <v>46082</v>
      </c>
      <c r="B116" s="175">
        <v>46100</v>
      </c>
      <c r="C116" s="312" t="s">
        <v>230</v>
      </c>
      <c r="D116" s="59" t="s">
        <v>231</v>
      </c>
      <c r="E116" s="59" t="s">
        <v>129</v>
      </c>
      <c r="F116" s="194">
        <f>'Stock Data'!K248</f>
        <v>8246.7000000000007</v>
      </c>
      <c r="G116" s="194">
        <f>Table13[[#This Row],[Total Cost]]</f>
        <v>8246.7000000000007</v>
      </c>
      <c r="H116" s="288"/>
      <c r="I116" s="135" t="s">
        <v>114</v>
      </c>
      <c r="J116" s="201">
        <f t="shared" si="6"/>
        <v>0</v>
      </c>
      <c r="K116" s="186">
        <f>Table13[[#This Row],[Total Profit]]/2</f>
        <v>0</v>
      </c>
      <c r="L116" s="186">
        <f>Table13[[#This Row],[Total Profit]]/2</f>
        <v>0</v>
      </c>
      <c r="M116" s="333"/>
      <c r="N116" s="288"/>
      <c r="O116" s="287"/>
      <c r="P116" s="148"/>
    </row>
    <row r="117" spans="1:16" ht="25" customHeight="1">
      <c r="A117" s="281">
        <v>46082</v>
      </c>
      <c r="B117" s="175">
        <v>46085</v>
      </c>
      <c r="C117" s="59" t="s">
        <v>232</v>
      </c>
      <c r="D117" s="59" t="s">
        <v>233</v>
      </c>
      <c r="E117" s="12" t="s">
        <v>107</v>
      </c>
      <c r="F117" s="194">
        <f>'Stock Data'!K242</f>
        <v>3385.5299999999997</v>
      </c>
      <c r="G117" s="194">
        <v>7989.29</v>
      </c>
      <c r="H117" s="288"/>
      <c r="I117" s="135" t="s">
        <v>107</v>
      </c>
      <c r="J117" s="201">
        <f t="shared" si="6"/>
        <v>4603.76</v>
      </c>
      <c r="K117" s="201"/>
      <c r="L117" s="186">
        <v>4603.76</v>
      </c>
      <c r="M117" s="288"/>
      <c r="N117" s="288" t="s">
        <v>234</v>
      </c>
      <c r="O117" s="287"/>
      <c r="P117" s="287"/>
    </row>
    <row r="118" spans="1:16" ht="25" customHeight="1">
      <c r="A118" s="281">
        <v>46082</v>
      </c>
      <c r="B118" s="177">
        <v>46007</v>
      </c>
      <c r="C118" s="142" t="s">
        <v>235</v>
      </c>
      <c r="D118" s="142" t="s">
        <v>122</v>
      </c>
      <c r="E118" s="12" t="s">
        <v>107</v>
      </c>
      <c r="F118" s="194">
        <f>'Stock Data'!K217</f>
        <v>4014.6099999999997</v>
      </c>
      <c r="G118" s="194">
        <v>6800</v>
      </c>
      <c r="H118" s="288"/>
      <c r="I118" s="135" t="s">
        <v>107</v>
      </c>
      <c r="J118" s="201">
        <f t="shared" si="6"/>
        <v>2785.3900000000003</v>
      </c>
      <c r="K118" s="288"/>
      <c r="L118" s="186">
        <v>2857.37</v>
      </c>
      <c r="M118" s="288"/>
      <c r="N118" s="288" t="s">
        <v>234</v>
      </c>
      <c r="O118" s="287"/>
      <c r="P118" s="287"/>
    </row>
    <row r="119" spans="1:16" ht="25" customHeight="1">
      <c r="A119" s="281">
        <v>46082</v>
      </c>
      <c r="B119" s="173">
        <v>46050</v>
      </c>
      <c r="C119" s="12" t="s">
        <v>236</v>
      </c>
      <c r="D119" s="12" t="s">
        <v>237</v>
      </c>
      <c r="E119" s="12" t="s">
        <v>129</v>
      </c>
      <c r="F119" s="194">
        <f>'Stock Data'!K221</f>
        <v>6397.64</v>
      </c>
      <c r="G119" s="194">
        <v>8695</v>
      </c>
      <c r="H119" s="288"/>
      <c r="I119" s="135" t="s">
        <v>114</v>
      </c>
      <c r="J119" s="201">
        <f t="shared" si="6"/>
        <v>2297.3599999999997</v>
      </c>
      <c r="K119" s="186">
        <f>Table13[[#This Row],[Total Profit]]/2-140</f>
        <v>1008.6799999999998</v>
      </c>
      <c r="L119" s="186">
        <f>Table13[[#This Row],[Total Profit]]/2+140</f>
        <v>1288.6799999999998</v>
      </c>
      <c r="M119" s="333"/>
      <c r="N119" s="288"/>
      <c r="O119" s="287"/>
      <c r="P119" s="148"/>
    </row>
    <row r="120" spans="1:16" ht="25" customHeight="1">
      <c r="A120" s="81">
        <v>46082</v>
      </c>
      <c r="B120" s="177"/>
      <c r="C120" s="142"/>
      <c r="D120" s="142"/>
      <c r="E120" s="7"/>
      <c r="F120" s="10"/>
      <c r="G120" s="194"/>
      <c r="H120" s="288"/>
      <c r="I120" s="135"/>
      <c r="J120" s="201"/>
      <c r="K120" s="288"/>
      <c r="L120" s="186"/>
      <c r="M120" s="333"/>
      <c r="N120" s="288"/>
      <c r="O120" s="287"/>
      <c r="P120" s="148"/>
    </row>
    <row r="121" spans="1:16" ht="25" customHeight="1">
      <c r="A121" s="81">
        <v>46082</v>
      </c>
      <c r="B121" s="240"/>
      <c r="C121" s="17"/>
      <c r="D121" s="17"/>
      <c r="E121" s="17"/>
      <c r="F121" s="10"/>
      <c r="G121" s="186"/>
      <c r="H121" s="186"/>
      <c r="I121" s="186"/>
      <c r="J121" s="201"/>
      <c r="K121" s="186"/>
      <c r="L121" s="186"/>
      <c r="M121" s="8"/>
      <c r="N121" s="258"/>
      <c r="O121" s="148"/>
      <c r="P121" s="148"/>
    </row>
    <row r="122" spans="1:16" ht="25" customHeight="1">
      <c r="A122" s="81">
        <v>46082</v>
      </c>
      <c r="B122" s="240"/>
      <c r="C122" s="17"/>
      <c r="D122" s="17"/>
      <c r="E122" s="17"/>
      <c r="F122" s="186"/>
      <c r="G122" s="186"/>
      <c r="H122" s="186"/>
      <c r="I122" s="72" t="s">
        <v>32</v>
      </c>
      <c r="J122" s="73">
        <f>SUM(J106:J119)</f>
        <v>28480.35</v>
      </c>
      <c r="K122" s="73">
        <f>SUM(K106:K119)</f>
        <v>9166.0720000000001</v>
      </c>
      <c r="L122" s="73">
        <f>SUM(L106:L121)</f>
        <v>19386.258000000002</v>
      </c>
      <c r="M122" s="258"/>
      <c r="N122" s="258"/>
      <c r="O122" s="148"/>
      <c r="P122" s="148"/>
    </row>
    <row r="123" spans="1:16" ht="25" customHeight="1">
      <c r="A123" s="126">
        <v>46082</v>
      </c>
      <c r="B123" s="176"/>
      <c r="C123" s="29"/>
      <c r="D123" s="29"/>
      <c r="E123" s="29"/>
      <c r="F123" s="193"/>
      <c r="G123" s="185"/>
      <c r="H123" s="185"/>
      <c r="I123" s="185"/>
      <c r="J123" s="185"/>
      <c r="K123" s="185"/>
      <c r="L123" s="29"/>
      <c r="M123" s="29"/>
      <c r="N123" s="280"/>
      <c r="O123" s="29"/>
      <c r="P123" s="29"/>
    </row>
    <row r="124" spans="1:16" ht="25" customHeight="1">
      <c r="A124" s="81">
        <v>46113</v>
      </c>
      <c r="B124" s="340">
        <v>45989</v>
      </c>
      <c r="C124" s="62" t="s">
        <v>238</v>
      </c>
      <c r="D124" s="62" t="s">
        <v>239</v>
      </c>
      <c r="E124" s="62" t="s">
        <v>107</v>
      </c>
      <c r="F124" s="195">
        <f>'Stock Data'!K256</f>
        <v>4901.8900000000003</v>
      </c>
      <c r="G124" s="195">
        <v>5695</v>
      </c>
      <c r="H124" s="195"/>
      <c r="I124" s="342" t="s">
        <v>107</v>
      </c>
      <c r="J124" s="201">
        <f>G124-F124</f>
        <v>793.10999999999967</v>
      </c>
      <c r="K124" s="201"/>
      <c r="L124" s="186">
        <f>Table13[[#This Row],[Total Profit]]</f>
        <v>793.10999999999967</v>
      </c>
      <c r="M124" s="61"/>
      <c r="N124" s="258" t="s">
        <v>240</v>
      </c>
      <c r="P124" s="17"/>
    </row>
    <row r="125" spans="1:16" ht="25" customHeight="1">
      <c r="A125" s="81">
        <v>46113</v>
      </c>
      <c r="B125" s="341">
        <v>46077</v>
      </c>
      <c r="C125" s="59" t="s">
        <v>241</v>
      </c>
      <c r="D125" s="59" t="s">
        <v>242</v>
      </c>
      <c r="E125" s="12" t="s">
        <v>110</v>
      </c>
      <c r="F125" s="186">
        <f>'Stock Data'!K269</f>
        <v>7491.5</v>
      </c>
      <c r="G125" s="186">
        <v>9971</v>
      </c>
      <c r="H125" s="186"/>
      <c r="I125" s="135" t="s">
        <v>188</v>
      </c>
      <c r="J125" s="201">
        <f>G125-F125</f>
        <v>2479.5</v>
      </c>
      <c r="K125" s="186">
        <f>Table13[[#This Row],[Total Profit]]*0.3</f>
        <v>743.85</v>
      </c>
      <c r="L125" s="186">
        <f>Table13[[#This Row],[Total Profit]]-Table13[[#This Row],[Investor Profit]]</f>
        <v>1735.65</v>
      </c>
      <c r="M125" s="347"/>
      <c r="N125" s="258" t="s">
        <v>243</v>
      </c>
      <c r="O125" s="17"/>
      <c r="P125" s="283"/>
    </row>
    <row r="126" spans="1:16" ht="25" customHeight="1">
      <c r="A126" s="81">
        <v>46113</v>
      </c>
      <c r="B126" s="173">
        <v>46071</v>
      </c>
      <c r="C126" s="12" t="s">
        <v>244</v>
      </c>
      <c r="D126" s="12" t="s">
        <v>245</v>
      </c>
      <c r="E126" s="12" t="s">
        <v>107</v>
      </c>
      <c r="F126" s="194">
        <f>'Stock Data'!K265</f>
        <v>6993.22</v>
      </c>
      <c r="G126" s="194">
        <v>8400</v>
      </c>
      <c r="H126" s="194"/>
      <c r="I126" s="342" t="s">
        <v>107</v>
      </c>
      <c r="J126" s="201">
        <f>G126-F126</f>
        <v>1406.7799999999997</v>
      </c>
      <c r="K126" s="201"/>
      <c r="L126" s="186">
        <f>Table13[[#This Row],[Total Profit]]</f>
        <v>1406.7799999999997</v>
      </c>
      <c r="M126" s="144"/>
      <c r="N126" s="258" t="s">
        <v>246</v>
      </c>
      <c r="O126" s="283"/>
      <c r="P126" s="148"/>
    </row>
    <row r="127" spans="1:16" ht="25" customHeight="1">
      <c r="A127" s="81">
        <v>46113</v>
      </c>
      <c r="B127" s="175">
        <v>46100</v>
      </c>
      <c r="C127" s="59" t="s">
        <v>247</v>
      </c>
      <c r="D127" s="59" t="s">
        <v>248</v>
      </c>
      <c r="E127" s="12" t="s">
        <v>110</v>
      </c>
      <c r="F127" s="186">
        <f>'Stock Data'!K277</f>
        <v>8558.7800000000007</v>
      </c>
      <c r="G127" s="186">
        <v>12050</v>
      </c>
      <c r="H127" s="186"/>
      <c r="I127" s="135" t="s">
        <v>188</v>
      </c>
      <c r="J127" s="201">
        <f>G127-F127</f>
        <v>3491.2199999999993</v>
      </c>
      <c r="K127" s="186">
        <f>Table13[[#This Row],[Total Profit]]*0.3</f>
        <v>1047.3659999999998</v>
      </c>
      <c r="L127" s="186">
        <f>Table13[[#This Row],[Total Profit]]-Table13[[#This Row],[Investor Profit]]</f>
        <v>2443.8539999999994</v>
      </c>
      <c r="M127" s="8"/>
      <c r="N127" s="258" t="s">
        <v>246</v>
      </c>
      <c r="O127" s="17"/>
      <c r="P127" s="148"/>
    </row>
    <row r="128" spans="1:16" ht="25" customHeight="1">
      <c r="A128" s="81">
        <v>46113</v>
      </c>
      <c r="B128" s="173">
        <v>46067</v>
      </c>
      <c r="C128" s="12" t="s">
        <v>249</v>
      </c>
      <c r="D128" s="12" t="s">
        <v>70</v>
      </c>
      <c r="E128" s="12" t="s">
        <v>107</v>
      </c>
      <c r="F128" s="194"/>
      <c r="G128" s="194">
        <v>5295</v>
      </c>
      <c r="H128" s="194"/>
      <c r="I128" s="342" t="s">
        <v>107</v>
      </c>
      <c r="J128" s="201">
        <f>G128-F128</f>
        <v>5295</v>
      </c>
      <c r="K128" s="194"/>
      <c r="L128" s="186">
        <f>Table13[[#This Row],[Total Profit]]</f>
        <v>5295</v>
      </c>
      <c r="M128" s="144"/>
      <c r="N128" s="288" t="s">
        <v>250</v>
      </c>
      <c r="O128" s="283"/>
      <c r="P128" s="148"/>
    </row>
    <row r="129" spans="1:16" ht="25" customHeight="1">
      <c r="A129" s="81">
        <v>46113</v>
      </c>
      <c r="B129" s="175">
        <v>46099</v>
      </c>
      <c r="C129" s="59" t="s">
        <v>251</v>
      </c>
      <c r="D129" s="59" t="s">
        <v>252</v>
      </c>
      <c r="E129" s="59" t="s">
        <v>113</v>
      </c>
      <c r="F129" s="186">
        <f>'Stock Data'!K275</f>
        <v>7944.2749999999996</v>
      </c>
      <c r="G129" s="186">
        <v>10250</v>
      </c>
      <c r="H129" s="186"/>
      <c r="I129" s="135" t="s">
        <v>192</v>
      </c>
      <c r="J129" s="201">
        <f>Table13[[#This Row],[Sold]]-Table13[[#This Row],[Total Cost]]</f>
        <v>2305.7250000000004</v>
      </c>
      <c r="K129" s="186">
        <f>Table13[[#This Row],[Total Profit]]*0.35</f>
        <v>807.00375000000008</v>
      </c>
      <c r="L129" s="186">
        <f>Table13[[#This Row],[Total Profit]]*0.65</f>
        <v>1498.7212500000003</v>
      </c>
      <c r="M129" s="8"/>
      <c r="N129" s="288" t="s">
        <v>253</v>
      </c>
      <c r="O129" s="17"/>
      <c r="P129" s="148"/>
    </row>
    <row r="130" spans="1:16" ht="25" customHeight="1">
      <c r="A130" s="81">
        <v>46113</v>
      </c>
      <c r="B130" s="374">
        <v>46054</v>
      </c>
      <c r="C130" s="173" t="s">
        <v>254</v>
      </c>
      <c r="D130" s="173" t="s">
        <v>255</v>
      </c>
      <c r="E130" s="287" t="s">
        <v>107</v>
      </c>
      <c r="F130" s="194">
        <f>'Stock Data'!K261</f>
        <v>122.46000000000001</v>
      </c>
      <c r="G130" s="194">
        <v>6650</v>
      </c>
      <c r="H130" s="194"/>
      <c r="I130" s="342" t="s">
        <v>107</v>
      </c>
      <c r="J130" s="201">
        <f>Table13[[#This Row],[Sold]]-Table13[[#This Row],[Total Cost]]</f>
        <v>6527.54</v>
      </c>
      <c r="K130" s="194"/>
      <c r="L130" s="186">
        <f>Table13[[#This Row],[Total Profit]]</f>
        <v>6527.54</v>
      </c>
      <c r="M130" s="144"/>
      <c r="N130" s="288" t="s">
        <v>256</v>
      </c>
      <c r="O130" s="283"/>
      <c r="P130" s="148"/>
    </row>
    <row r="131" spans="1:16" ht="25" customHeight="1">
      <c r="A131" s="81">
        <v>46113</v>
      </c>
      <c r="B131" s="240"/>
      <c r="C131" s="17"/>
      <c r="D131" s="17"/>
      <c r="E131" s="17"/>
      <c r="F131" s="186"/>
      <c r="G131" s="186"/>
      <c r="H131" s="186"/>
      <c r="I131" s="186"/>
      <c r="J131" s="186"/>
      <c r="K131" s="186"/>
      <c r="L131" s="186"/>
      <c r="M131" s="8"/>
      <c r="N131" s="258"/>
      <c r="O131" s="17"/>
      <c r="P131" s="148"/>
    </row>
    <row r="132" spans="1:16" ht="25" customHeight="1">
      <c r="A132" s="81">
        <v>46113</v>
      </c>
      <c r="B132" s="282"/>
      <c r="C132" s="283"/>
      <c r="D132" s="283"/>
      <c r="E132" s="283"/>
      <c r="F132" s="194"/>
      <c r="G132" s="194"/>
      <c r="H132" s="194"/>
      <c r="I132" s="194"/>
      <c r="J132" s="194"/>
      <c r="K132" s="194"/>
      <c r="L132" s="194"/>
      <c r="M132" s="144"/>
      <c r="N132" s="288"/>
      <c r="O132" s="283"/>
      <c r="P132" s="148"/>
    </row>
    <row r="133" spans="1:16" ht="25" customHeight="1">
      <c r="A133" s="81">
        <v>46113</v>
      </c>
      <c r="B133" s="240"/>
      <c r="C133" s="17"/>
      <c r="D133" s="17"/>
      <c r="E133" s="17"/>
      <c r="F133" s="186"/>
      <c r="G133" s="186"/>
      <c r="H133" s="186"/>
      <c r="I133" s="186"/>
      <c r="J133" s="186"/>
      <c r="K133" s="186"/>
      <c r="L133" s="186"/>
      <c r="M133" s="8"/>
      <c r="N133" s="258"/>
      <c r="O133" s="17"/>
      <c r="P133" s="148"/>
    </row>
    <row r="134" spans="1:16" ht="25" customHeight="1">
      <c r="A134" s="81">
        <v>46113</v>
      </c>
      <c r="B134" s="282"/>
      <c r="C134" s="283"/>
      <c r="D134" s="283"/>
      <c r="E134" s="283"/>
      <c r="F134" s="194"/>
      <c r="G134" s="194"/>
      <c r="H134" s="194"/>
      <c r="I134" s="194"/>
      <c r="J134" s="194"/>
      <c r="K134" s="194"/>
      <c r="L134" s="194"/>
      <c r="M134" s="144"/>
      <c r="N134" s="288"/>
      <c r="O134" s="283"/>
      <c r="P134" s="148"/>
    </row>
    <row r="135" spans="1:16" ht="25" customHeight="1">
      <c r="A135" s="81">
        <v>46113</v>
      </c>
      <c r="B135" s="240"/>
      <c r="C135" s="17"/>
      <c r="D135" s="17"/>
      <c r="E135" s="17"/>
      <c r="F135" s="186"/>
      <c r="G135" s="186"/>
      <c r="H135" s="186"/>
      <c r="I135" s="186"/>
      <c r="J135" s="186"/>
      <c r="K135" s="186"/>
      <c r="L135" s="186"/>
      <c r="M135" s="8"/>
      <c r="N135" s="258"/>
      <c r="O135" s="17"/>
      <c r="P135" s="148"/>
    </row>
    <row r="136" spans="1:16" ht="25" customHeight="1">
      <c r="A136" s="81">
        <v>46113</v>
      </c>
      <c r="B136" s="282"/>
      <c r="C136" s="283"/>
      <c r="D136" s="283"/>
      <c r="E136" s="283"/>
      <c r="F136" s="194"/>
      <c r="G136" s="194"/>
      <c r="H136" s="194"/>
      <c r="I136" s="194"/>
      <c r="J136" s="194"/>
      <c r="K136" s="194"/>
      <c r="L136" s="194"/>
      <c r="M136" s="144"/>
      <c r="N136" s="288"/>
      <c r="O136" s="283"/>
      <c r="P136" s="148"/>
    </row>
    <row r="137" spans="1:16" ht="25" customHeight="1">
      <c r="A137" s="81">
        <v>46113</v>
      </c>
      <c r="B137" s="240"/>
      <c r="C137" s="17"/>
      <c r="D137" s="17"/>
      <c r="E137" s="17"/>
      <c r="F137" s="186"/>
      <c r="G137" s="186"/>
      <c r="H137" s="186"/>
      <c r="I137" s="186"/>
      <c r="J137" s="186"/>
      <c r="K137" s="186"/>
      <c r="L137" s="186"/>
      <c r="M137" s="8"/>
      <c r="N137" s="258"/>
      <c r="O137" s="17"/>
      <c r="P137" s="148"/>
    </row>
    <row r="138" spans="1:16" ht="25" customHeight="1">
      <c r="A138" s="81">
        <v>46113</v>
      </c>
      <c r="B138" s="282"/>
      <c r="C138" s="283"/>
      <c r="D138" s="283"/>
      <c r="E138" s="283"/>
      <c r="F138" s="194"/>
      <c r="G138" s="194"/>
      <c r="H138" s="194"/>
      <c r="I138" s="194"/>
      <c r="J138" s="194"/>
      <c r="K138" s="194"/>
      <c r="L138" s="194"/>
      <c r="M138" s="144"/>
      <c r="N138" s="288"/>
      <c r="O138" s="283"/>
      <c r="P138" s="148"/>
    </row>
    <row r="139" spans="1:16" ht="25" customHeight="1">
      <c r="A139" s="81">
        <v>46113</v>
      </c>
      <c r="B139" s="240"/>
      <c r="C139" s="17"/>
      <c r="D139" s="17"/>
      <c r="E139" s="17"/>
      <c r="F139" s="186"/>
      <c r="G139" s="186"/>
      <c r="H139" s="186"/>
      <c r="I139" s="186"/>
      <c r="J139" s="186"/>
      <c r="K139" s="186"/>
      <c r="L139" s="186"/>
      <c r="M139" s="8"/>
      <c r="N139" s="258"/>
      <c r="O139" s="17"/>
      <c r="P139" s="148"/>
    </row>
    <row r="140" spans="1:16" ht="25" customHeight="1">
      <c r="A140" s="81">
        <v>46113</v>
      </c>
      <c r="B140" s="282"/>
      <c r="C140" s="283"/>
      <c r="D140" s="283"/>
      <c r="E140" s="283"/>
      <c r="F140" s="194"/>
      <c r="G140" s="208"/>
      <c r="H140" s="208"/>
      <c r="I140" s="343" t="s">
        <v>32</v>
      </c>
      <c r="J140" s="180">
        <f>SUM(J124:J137)</f>
        <v>22298.875</v>
      </c>
      <c r="K140" s="180">
        <f>SUM(K124:K137)</f>
        <v>2598.2197500000002</v>
      </c>
      <c r="L140" s="180">
        <f>SUM(L124:L137)</f>
        <v>19700.65525</v>
      </c>
      <c r="M140" s="207"/>
      <c r="N140" s="288"/>
      <c r="O140" s="283"/>
      <c r="P140" s="148"/>
    </row>
    <row r="141" spans="1:16" ht="25" customHeight="1">
      <c r="A141" s="81">
        <v>46113</v>
      </c>
      <c r="B141" s="240"/>
      <c r="C141" s="17"/>
      <c r="D141" s="17"/>
      <c r="E141" s="17"/>
      <c r="F141" s="186"/>
      <c r="G141" s="187"/>
      <c r="H141" s="187"/>
      <c r="I141" s="187"/>
      <c r="J141" s="187"/>
      <c r="K141" s="187"/>
      <c r="L141" s="17"/>
      <c r="M141" s="14"/>
      <c r="N141" s="203"/>
      <c r="O141" s="17"/>
      <c r="P141" s="148"/>
    </row>
    <row r="142" spans="1:16" ht="25" customHeight="1">
      <c r="A142" s="338"/>
      <c r="B142" s="282"/>
      <c r="C142" s="283"/>
      <c r="D142" s="283"/>
      <c r="E142" s="283"/>
      <c r="F142" s="194"/>
      <c r="G142" s="208"/>
      <c r="H142" s="208"/>
      <c r="I142" s="208"/>
      <c r="J142" s="208"/>
      <c r="K142" s="208"/>
      <c r="L142" s="283"/>
      <c r="M142" s="207"/>
      <c r="N142" s="284"/>
      <c r="O142" s="283"/>
      <c r="P142" s="148"/>
    </row>
    <row r="143" spans="1:16" ht="25" customHeight="1">
      <c r="B143" s="197"/>
    </row>
    <row r="144" spans="1:16" ht="25" customHeight="1">
      <c r="B144" s="197"/>
    </row>
    <row r="145" spans="2:2" ht="25" customHeight="1">
      <c r="B145" s="197"/>
    </row>
    <row r="146" spans="2:2" ht="25" customHeight="1">
      <c r="B146" s="197"/>
    </row>
    <row r="147" spans="2:2" ht="25" customHeight="1">
      <c r="B147" s="197"/>
    </row>
    <row r="148" spans="2:2" ht="25" customHeight="1">
      <c r="B148" s="197"/>
    </row>
    <row r="149" spans="2:2" ht="25" customHeight="1">
      <c r="B149" s="197"/>
    </row>
    <row r="150" spans="2:2" ht="25" customHeight="1">
      <c r="B150" s="197"/>
    </row>
    <row r="151" spans="2:2" ht="25" customHeight="1">
      <c r="B151" s="197"/>
    </row>
    <row r="152" spans="2:2" ht="25" customHeight="1">
      <c r="B152" s="197"/>
    </row>
    <row r="153" spans="2:2" ht="25" customHeight="1">
      <c r="B153" s="197"/>
    </row>
    <row r="154" spans="2:2" ht="25" customHeight="1">
      <c r="B154" s="197"/>
    </row>
    <row r="155" spans="2:2" ht="25" customHeight="1">
      <c r="B155" s="197"/>
    </row>
    <row r="156" spans="2:2" ht="25" customHeight="1">
      <c r="B156" s="197"/>
    </row>
    <row r="157" spans="2:2" ht="25" customHeight="1">
      <c r="B157" s="197"/>
    </row>
    <row r="158" spans="2:2" ht="15" customHeight="1">
      <c r="B158" s="197"/>
    </row>
    <row r="159" spans="2:2" ht="15" customHeight="1">
      <c r="B159" s="197"/>
    </row>
    <row r="160" spans="2:2" ht="15" customHeight="1">
      <c r="B160" s="197"/>
    </row>
    <row r="161" spans="2:2" ht="15" customHeight="1">
      <c r="B161" s="197"/>
    </row>
    <row r="162" spans="2:2" ht="15" customHeight="1">
      <c r="B162" s="197"/>
    </row>
    <row r="163" spans="2:2" ht="15" customHeight="1">
      <c r="B163" s="197"/>
    </row>
    <row r="164" spans="2:2" ht="15" customHeight="1">
      <c r="B164" s="197"/>
    </row>
    <row r="165" spans="2:2" ht="15" customHeight="1">
      <c r="B165" s="197"/>
    </row>
    <row r="166" spans="2:2" ht="15" customHeight="1">
      <c r="B166" s="197"/>
    </row>
    <row r="167" spans="2:2" ht="15" customHeight="1">
      <c r="B167" s="197"/>
    </row>
    <row r="168" spans="2:2" ht="15" customHeight="1">
      <c r="B168" s="197"/>
    </row>
    <row r="169" spans="2:2" ht="15" customHeight="1">
      <c r="B169" s="197"/>
    </row>
    <row r="170" spans="2:2" ht="15" customHeight="1">
      <c r="B170" s="197"/>
    </row>
    <row r="171" spans="2:2" ht="15" customHeight="1">
      <c r="B171" s="197"/>
    </row>
    <row r="172" spans="2:2" ht="15" customHeight="1">
      <c r="B172" s="197"/>
    </row>
    <row r="173" spans="2:2" ht="15" customHeight="1">
      <c r="B173" s="197"/>
    </row>
    <row r="174" spans="2:2" ht="15" customHeight="1">
      <c r="B174" s="197"/>
    </row>
    <row r="175" spans="2:2" ht="15" customHeight="1">
      <c r="B175" s="197"/>
    </row>
  </sheetData>
  <conditionalFormatting sqref="C2">
    <cfRule type="duplicateValues" dxfId="84" priority="53"/>
  </conditionalFormatting>
  <conditionalFormatting sqref="J65:J76 J93:J102">
    <cfRule type="cellIs" dxfId="83" priority="37" operator="lessThan">
      <formula>0</formula>
    </cfRule>
    <cfRule type="cellIs" dxfId="82" priority="38" operator="greaterThan">
      <formula>0</formula>
    </cfRule>
  </conditionalFormatting>
  <conditionalFormatting sqref="J80:J90">
    <cfRule type="cellIs" dxfId="81" priority="31" operator="lessThan">
      <formula>0</formula>
    </cfRule>
    <cfRule type="cellIs" dxfId="80" priority="32" operator="greaterThan">
      <formula>0</formula>
    </cfRule>
  </conditionalFormatting>
  <conditionalFormatting sqref="J106:J110">
    <cfRule type="cellIs" dxfId="79" priority="20" operator="lessThan">
      <formula>0</formula>
    </cfRule>
    <cfRule type="cellIs" dxfId="78" priority="21" operator="greaterThan">
      <formula>0</formula>
    </cfRule>
  </conditionalFormatting>
  <conditionalFormatting sqref="J112">
    <cfRule type="cellIs" dxfId="77" priority="18" operator="lessThan">
      <formula>0</formula>
    </cfRule>
    <cfRule type="cellIs" dxfId="76" priority="19" operator="greaterThan">
      <formula>0</formula>
    </cfRule>
  </conditionalFormatting>
  <conditionalFormatting sqref="J114:J121 K117:L117 L118 L120">
    <cfRule type="cellIs" dxfId="75" priority="16" operator="lessThan">
      <formula>0</formula>
    </cfRule>
    <cfRule type="cellIs" dxfId="74" priority="17" operator="greaterThan">
      <formula>0</formula>
    </cfRule>
  </conditionalFormatting>
  <conditionalFormatting sqref="J125">
    <cfRule type="cellIs" dxfId="73" priority="11" operator="lessThan">
      <formula>0</formula>
    </cfRule>
    <cfRule type="cellIs" dxfId="72" priority="12" operator="greaterThan">
      <formula>0</formula>
    </cfRule>
  </conditionalFormatting>
  <conditionalFormatting sqref="J127:J128">
    <cfRule type="cellIs" dxfId="71" priority="5" operator="lessThan">
      <formula>0</formula>
    </cfRule>
    <cfRule type="cellIs" dxfId="70" priority="6" operator="greaterThan">
      <formula>0</formula>
    </cfRule>
  </conditionalFormatting>
  <conditionalFormatting sqref="J3:L63 G143:G171">
    <cfRule type="cellIs" dxfId="69" priority="46" operator="greaterThan">
      <formula>0</formula>
    </cfRule>
  </conditionalFormatting>
  <conditionalFormatting sqref="J78:L78">
    <cfRule type="cellIs" dxfId="68" priority="36" operator="greaterThan">
      <formula>0</formula>
    </cfRule>
  </conditionalFormatting>
  <conditionalFormatting sqref="J91:L91">
    <cfRule type="cellIs" dxfId="67" priority="30" operator="greaterThan">
      <formula>0</formula>
    </cfRule>
  </conditionalFormatting>
  <conditionalFormatting sqref="J104:L104">
    <cfRule type="cellIs" dxfId="66" priority="27" operator="greaterThan">
      <formula>0</formula>
    </cfRule>
  </conditionalFormatting>
  <conditionalFormatting sqref="J122:L122">
    <cfRule type="cellIs" dxfId="65" priority="26" operator="greaterThan">
      <formula>0</formula>
    </cfRule>
  </conditionalFormatting>
  <conditionalFormatting sqref="J124:L124">
    <cfRule type="cellIs" dxfId="64" priority="13" operator="lessThan">
      <formula>0</formula>
    </cfRule>
    <cfRule type="cellIs" dxfId="63" priority="14" operator="greaterThan">
      <formula>0</formula>
    </cfRule>
  </conditionalFormatting>
  <conditionalFormatting sqref="J126:L126">
    <cfRule type="cellIs" dxfId="62" priority="9" operator="lessThan">
      <formula>0</formula>
    </cfRule>
    <cfRule type="cellIs" dxfId="61" priority="10" operator="greaterThan">
      <formula>0</formula>
    </cfRule>
  </conditionalFormatting>
  <conditionalFormatting sqref="J140:L140">
    <cfRule type="cellIs" dxfId="60" priority="15" operator="greaterThan">
      <formula>0</formula>
    </cfRule>
  </conditionalFormatting>
  <conditionalFormatting sqref="K53:K54 J53:J60 K59 J60:K62">
    <cfRule type="cellIs" dxfId="59" priority="41" operator="lessThan">
      <formula>0</formula>
    </cfRule>
  </conditionalFormatting>
  <conditionalFormatting sqref="L128">
    <cfRule type="cellIs" dxfId="58" priority="3" operator="lessThan">
      <formula>0</formula>
    </cfRule>
    <cfRule type="cellIs" dxfId="57" priority="4" operator="greaterThan">
      <formula>0</formula>
    </cfRule>
  </conditionalFormatting>
  <conditionalFormatting sqref="L130">
    <cfRule type="cellIs" dxfId="56" priority="1" operator="lessThan">
      <formula>0</formula>
    </cfRule>
    <cfRule type="cellIs" dxfId="55" priority="2" operator="greaterThan">
      <formula>0</formula>
    </cfRule>
  </conditionalFormatting>
  <conditionalFormatting sqref="M19">
    <cfRule type="cellIs" priority="45" operator="lessThan">
      <formula>0</formula>
    </cfRule>
  </conditionalFormatting>
  <conditionalFormatting sqref="O23:O32">
    <cfRule type="cellIs" dxfId="54" priority="47" operator="lessThan">
      <formula>0</formula>
    </cfRule>
    <cfRule type="cellIs" priority="48" operator="lessThan">
      <formula>0</formula>
    </cfRule>
    <cfRule type="cellIs" dxfId="53" priority="49" operator="greaterThan">
      <formula>0</formula>
    </cfRule>
  </conditionalFormatting>
  <conditionalFormatting sqref="P23:P32">
    <cfRule type="cellIs" dxfId="52" priority="33" operator="lessThan">
      <formula>0</formula>
    </cfRule>
    <cfRule type="cellIs" priority="34" operator="lessThan">
      <formula>0</formula>
    </cfRule>
    <cfRule type="cellIs" dxfId="51" priority="35" operator="greaterThan">
      <formula>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N465"/>
  <sheetViews>
    <sheetView zoomScale="81" zoomScaleNormal="70" workbookViewId="0">
      <selection activeCell="I264" sqref="I264"/>
    </sheetView>
  </sheetViews>
  <sheetFormatPr baseColWidth="10" defaultColWidth="8.83203125" defaultRowHeight="15"/>
  <cols>
    <col min="1" max="1" width="2.33203125" customWidth="1"/>
    <col min="2" max="2" width="9.1640625" bestFit="1" customWidth="1"/>
    <col min="3" max="3" width="15" style="368" customWidth="1"/>
    <col min="4" max="4" width="15.5" bestFit="1" customWidth="1"/>
    <col min="5" max="5" width="14.5" customWidth="1"/>
    <col min="6" max="6" width="13.83203125" customWidth="1"/>
    <col min="7" max="7" width="10" bestFit="1" customWidth="1"/>
    <col min="8" max="8" width="10.33203125" customWidth="1"/>
    <col min="9" max="9" width="16.6640625" style="61" customWidth="1"/>
    <col min="10" max="10" width="21.5" style="61" bestFit="1" customWidth="1"/>
    <col min="11" max="11" width="11.83203125" style="61" customWidth="1"/>
    <col min="12" max="12" width="12.1640625" bestFit="1" customWidth="1"/>
    <col min="13" max="13" width="10.83203125" bestFit="1" customWidth="1"/>
    <col min="14" max="14" width="84" customWidth="1"/>
  </cols>
  <sheetData>
    <row r="1" spans="1:14">
      <c r="A1" s="3"/>
      <c r="B1" s="3"/>
      <c r="C1" s="353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0.75" customHeight="1">
      <c r="A2" s="4"/>
      <c r="B2" s="40" t="s">
        <v>0</v>
      </c>
      <c r="C2" s="354" t="s">
        <v>24</v>
      </c>
      <c r="D2" s="41" t="s">
        <v>257</v>
      </c>
      <c r="E2" s="40" t="s">
        <v>26</v>
      </c>
      <c r="F2" s="40" t="s">
        <v>258</v>
      </c>
      <c r="G2" s="40" t="s">
        <v>259</v>
      </c>
      <c r="H2" s="40" t="s">
        <v>260</v>
      </c>
      <c r="I2" s="40" t="s">
        <v>261</v>
      </c>
      <c r="J2" s="40" t="s">
        <v>262</v>
      </c>
      <c r="K2" s="40" t="s">
        <v>28</v>
      </c>
      <c r="L2" s="42" t="s">
        <v>29</v>
      </c>
      <c r="M2" s="42" t="s">
        <v>263</v>
      </c>
      <c r="N2" s="330" t="s">
        <v>264</v>
      </c>
    </row>
    <row r="3" spans="1:14" ht="26.5" customHeight="1">
      <c r="B3" s="80">
        <v>45839</v>
      </c>
      <c r="C3" s="355">
        <v>45798</v>
      </c>
      <c r="D3" s="12" t="s">
        <v>60</v>
      </c>
      <c r="E3" s="12"/>
      <c r="F3" s="12"/>
      <c r="G3" s="12" t="s">
        <v>265</v>
      </c>
      <c r="H3" s="12"/>
      <c r="I3" s="186">
        <v>2360</v>
      </c>
      <c r="J3" s="8">
        <v>748.69999999999982</v>
      </c>
      <c r="K3" s="8">
        <f t="shared" ref="K3:K20" si="0">SUM(I3:J3)</f>
        <v>3108.7</v>
      </c>
      <c r="L3" s="179" t="s">
        <v>68</v>
      </c>
      <c r="M3" s="11" t="s">
        <v>68</v>
      </c>
      <c r="N3" s="65" t="s">
        <v>266</v>
      </c>
    </row>
    <row r="4" spans="1:14" ht="26.5" customHeight="1">
      <c r="B4" s="115">
        <v>45839</v>
      </c>
      <c r="C4" s="356">
        <v>45804</v>
      </c>
      <c r="D4" s="113" t="s">
        <v>44</v>
      </c>
      <c r="E4" s="113" t="s">
        <v>45</v>
      </c>
      <c r="F4" s="113"/>
      <c r="G4" s="113" t="s">
        <v>265</v>
      </c>
      <c r="H4" s="113"/>
      <c r="I4" s="180">
        <v>955.36</v>
      </c>
      <c r="J4" s="73">
        <v>729.49000000000035</v>
      </c>
      <c r="K4" s="73">
        <f t="shared" si="0"/>
        <v>1684.8500000000004</v>
      </c>
      <c r="L4" s="180">
        <v>2900</v>
      </c>
      <c r="M4" s="73">
        <f>L4-SUM(I4:J4)</f>
        <v>1215.1499999999996</v>
      </c>
      <c r="N4" s="66" t="s">
        <v>29</v>
      </c>
    </row>
    <row r="5" spans="1:14" ht="26.5" customHeight="1">
      <c r="B5" s="80">
        <v>45839</v>
      </c>
      <c r="C5" s="355">
        <v>45807</v>
      </c>
      <c r="D5" s="12" t="s">
        <v>161</v>
      </c>
      <c r="E5" s="12" t="s">
        <v>162</v>
      </c>
      <c r="F5" s="12"/>
      <c r="G5" s="12" t="s">
        <v>267</v>
      </c>
      <c r="H5" s="12"/>
      <c r="I5" s="186">
        <v>2000</v>
      </c>
      <c r="J5" s="8">
        <v>4597.1400000000003</v>
      </c>
      <c r="K5" s="8">
        <f t="shared" si="0"/>
        <v>6597.14</v>
      </c>
      <c r="L5" s="181" t="s">
        <v>68</v>
      </c>
      <c r="M5" s="10" t="s">
        <v>68</v>
      </c>
      <c r="N5" s="65" t="s">
        <v>268</v>
      </c>
    </row>
    <row r="6" spans="1:14" ht="26.5" customHeight="1">
      <c r="B6" s="115">
        <v>45839</v>
      </c>
      <c r="C6" s="356">
        <v>45813</v>
      </c>
      <c r="D6" s="113" t="s">
        <v>46</v>
      </c>
      <c r="E6" s="113" t="s">
        <v>47</v>
      </c>
      <c r="F6" s="113"/>
      <c r="G6" s="113" t="s">
        <v>267</v>
      </c>
      <c r="H6" s="113"/>
      <c r="I6" s="180">
        <v>1250</v>
      </c>
      <c r="J6" s="73">
        <v>915.42000000000007</v>
      </c>
      <c r="K6" s="73">
        <f t="shared" si="0"/>
        <v>2165.42</v>
      </c>
      <c r="L6" s="180">
        <v>2995</v>
      </c>
      <c r="M6" s="73">
        <f>L6-SUM(I6:J6)</f>
        <v>829.57999999999993</v>
      </c>
      <c r="N6" s="66" t="s">
        <v>29</v>
      </c>
    </row>
    <row r="7" spans="1:14" ht="26.5" customHeight="1">
      <c r="B7" s="115">
        <v>45839</v>
      </c>
      <c r="C7" s="356">
        <v>45815</v>
      </c>
      <c r="D7" s="113" t="s">
        <v>48</v>
      </c>
      <c r="E7" s="113" t="s">
        <v>49</v>
      </c>
      <c r="F7" s="113"/>
      <c r="G7" s="113" t="s">
        <v>267</v>
      </c>
      <c r="H7" s="113"/>
      <c r="I7" s="180">
        <v>1750</v>
      </c>
      <c r="J7" s="73">
        <v>410.74000000000018</v>
      </c>
      <c r="K7" s="73">
        <f t="shared" si="0"/>
        <v>2160.7400000000002</v>
      </c>
      <c r="L7" s="180">
        <v>3376</v>
      </c>
      <c r="M7" s="73">
        <f>L7-SUM(I7:J7)</f>
        <v>1215.2599999999998</v>
      </c>
      <c r="N7" s="66" t="s">
        <v>29</v>
      </c>
    </row>
    <row r="8" spans="1:14" ht="26.5" customHeight="1">
      <c r="B8" s="80">
        <v>45839</v>
      </c>
      <c r="C8" s="355">
        <v>45836</v>
      </c>
      <c r="D8" s="12" t="s">
        <v>62</v>
      </c>
      <c r="E8" s="12" t="s">
        <v>63</v>
      </c>
      <c r="F8" s="12"/>
      <c r="G8" s="12" t="s">
        <v>267</v>
      </c>
      <c r="H8" s="12"/>
      <c r="I8" s="186">
        <v>2999</v>
      </c>
      <c r="J8" s="8">
        <v>2152.84</v>
      </c>
      <c r="K8" s="8">
        <f t="shared" si="0"/>
        <v>5151.84</v>
      </c>
      <c r="L8" s="181" t="s">
        <v>68</v>
      </c>
      <c r="M8" s="10" t="s">
        <v>68</v>
      </c>
      <c r="N8" s="67" t="s">
        <v>269</v>
      </c>
    </row>
    <row r="9" spans="1:14" ht="26.5" customHeight="1">
      <c r="B9" s="115">
        <v>45839</v>
      </c>
      <c r="C9" s="356">
        <v>45843</v>
      </c>
      <c r="D9" s="113" t="s">
        <v>50</v>
      </c>
      <c r="E9" s="113" t="s">
        <v>51</v>
      </c>
      <c r="F9" s="113"/>
      <c r="G9" s="113" t="s">
        <v>270</v>
      </c>
      <c r="H9" s="113"/>
      <c r="I9" s="180">
        <v>1976.81</v>
      </c>
      <c r="J9" s="73">
        <v>16</v>
      </c>
      <c r="K9" s="73">
        <f t="shared" si="0"/>
        <v>1992.81</v>
      </c>
      <c r="L9" s="180">
        <v>2300</v>
      </c>
      <c r="M9" s="73">
        <f>L9-SUM(I9:J9)</f>
        <v>307.19000000000005</v>
      </c>
      <c r="N9" s="66" t="s">
        <v>29</v>
      </c>
    </row>
    <row r="10" spans="1:14" ht="26.5" customHeight="1">
      <c r="B10" s="80">
        <v>45839</v>
      </c>
      <c r="C10" s="355">
        <v>45846</v>
      </c>
      <c r="D10" s="12" t="s">
        <v>64</v>
      </c>
      <c r="E10" s="12" t="s">
        <v>65</v>
      </c>
      <c r="F10" s="12"/>
      <c r="G10" s="12" t="s">
        <v>267</v>
      </c>
      <c r="H10" s="12"/>
      <c r="I10" s="186">
        <v>450</v>
      </c>
      <c r="J10" s="8">
        <v>538.1400000000001</v>
      </c>
      <c r="K10" s="8">
        <f t="shared" si="0"/>
        <v>988.1400000000001</v>
      </c>
      <c r="L10" s="181" t="s">
        <v>68</v>
      </c>
      <c r="M10" s="10" t="s">
        <v>68</v>
      </c>
      <c r="N10" s="67" t="s">
        <v>269</v>
      </c>
    </row>
    <row r="11" spans="1:14" ht="26.5" customHeight="1">
      <c r="B11" s="115">
        <v>45839</v>
      </c>
      <c r="C11" s="356">
        <v>45846</v>
      </c>
      <c r="D11" s="113" t="s">
        <v>52</v>
      </c>
      <c r="E11" s="113" t="s">
        <v>53</v>
      </c>
      <c r="F11" s="113"/>
      <c r="G11" s="113" t="s">
        <v>271</v>
      </c>
      <c r="H11" s="113"/>
      <c r="I11" s="180">
        <v>2700</v>
      </c>
      <c r="J11" s="73">
        <v>36.319999999999709</v>
      </c>
      <c r="K11" s="73">
        <f t="shared" si="0"/>
        <v>2736.3199999999997</v>
      </c>
      <c r="L11" s="180">
        <v>2900</v>
      </c>
      <c r="M11" s="73">
        <f>L11-SUM(I11:J11)</f>
        <v>163.68000000000029</v>
      </c>
      <c r="N11" s="66" t="s">
        <v>29</v>
      </c>
    </row>
    <row r="12" spans="1:14" ht="26.5" customHeight="1">
      <c r="B12" s="115">
        <v>45839</v>
      </c>
      <c r="C12" s="356">
        <v>45847</v>
      </c>
      <c r="D12" s="113" t="s">
        <v>54</v>
      </c>
      <c r="E12" s="113" t="s">
        <v>55</v>
      </c>
      <c r="F12" s="113"/>
      <c r="G12" s="113" t="s">
        <v>267</v>
      </c>
      <c r="H12" s="113"/>
      <c r="I12" s="180">
        <v>500</v>
      </c>
      <c r="J12" s="73">
        <v>134.46</v>
      </c>
      <c r="K12" s="73">
        <f t="shared" si="0"/>
        <v>634.46</v>
      </c>
      <c r="L12" s="180">
        <v>1775</v>
      </c>
      <c r="M12" s="73">
        <f>L12-SUM(I12:J12)</f>
        <v>1140.54</v>
      </c>
      <c r="N12" s="66" t="s">
        <v>29</v>
      </c>
    </row>
    <row r="13" spans="1:14" ht="28.5" customHeight="1">
      <c r="B13" s="80">
        <v>45839</v>
      </c>
      <c r="C13" s="355">
        <v>45855</v>
      </c>
      <c r="D13" s="12" t="s">
        <v>66</v>
      </c>
      <c r="E13" s="12" t="s">
        <v>67</v>
      </c>
      <c r="F13" s="12"/>
      <c r="G13" s="12" t="s">
        <v>267</v>
      </c>
      <c r="H13" s="12"/>
      <c r="I13" s="186">
        <v>750</v>
      </c>
      <c r="J13" s="8">
        <v>695.22000000000025</v>
      </c>
      <c r="K13" s="8">
        <f t="shared" si="0"/>
        <v>1445.2200000000003</v>
      </c>
      <c r="L13" s="181" t="s">
        <v>68</v>
      </c>
      <c r="M13" s="10" t="s">
        <v>68</v>
      </c>
      <c r="N13" s="65" t="s">
        <v>272</v>
      </c>
    </row>
    <row r="14" spans="1:14" ht="26.5" customHeight="1">
      <c r="B14" s="115">
        <v>45839</v>
      </c>
      <c r="C14" s="356">
        <v>45855</v>
      </c>
      <c r="D14" s="113" t="s">
        <v>56</v>
      </c>
      <c r="E14" s="113" t="s">
        <v>57</v>
      </c>
      <c r="F14" s="113"/>
      <c r="G14" s="113" t="s">
        <v>265</v>
      </c>
      <c r="H14" s="113"/>
      <c r="I14" s="180">
        <v>6030.41</v>
      </c>
      <c r="J14" s="73">
        <v>75</v>
      </c>
      <c r="K14" s="73">
        <f t="shared" si="0"/>
        <v>6105.41</v>
      </c>
      <c r="L14" s="180">
        <v>6400</v>
      </c>
      <c r="M14" s="73">
        <f>L14-SUM(I14:J14)</f>
        <v>294.59000000000015</v>
      </c>
      <c r="N14" s="66" t="s">
        <v>29</v>
      </c>
    </row>
    <row r="15" spans="1:14" ht="26.5" customHeight="1">
      <c r="B15" s="115">
        <v>45839</v>
      </c>
      <c r="C15" s="356">
        <v>45858</v>
      </c>
      <c r="D15" s="113" t="s">
        <v>58</v>
      </c>
      <c r="E15" s="113" t="s">
        <v>59</v>
      </c>
      <c r="F15" s="113"/>
      <c r="G15" s="113" t="s">
        <v>267</v>
      </c>
      <c r="H15" s="113"/>
      <c r="I15" s="180">
        <v>2200</v>
      </c>
      <c r="J15" s="73">
        <v>14.2</v>
      </c>
      <c r="K15" s="73">
        <f t="shared" si="0"/>
        <v>2214.1999999999998</v>
      </c>
      <c r="L15" s="180">
        <v>2900</v>
      </c>
      <c r="M15" s="73">
        <f>L15-SUM(I15:J15)</f>
        <v>685.80000000000018</v>
      </c>
      <c r="N15" s="66" t="s">
        <v>29</v>
      </c>
    </row>
    <row r="16" spans="1:14" ht="30" customHeight="1">
      <c r="B16" s="80">
        <v>45839</v>
      </c>
      <c r="C16" s="355">
        <v>45859</v>
      </c>
      <c r="D16" s="12" t="s">
        <v>120</v>
      </c>
      <c r="E16" s="12" t="s">
        <v>65</v>
      </c>
      <c r="F16" s="12"/>
      <c r="G16" s="12" t="s">
        <v>267</v>
      </c>
      <c r="H16" s="12"/>
      <c r="I16" s="186">
        <v>1200</v>
      </c>
      <c r="J16" s="8">
        <v>2451.52</v>
      </c>
      <c r="K16" s="8">
        <f t="shared" si="0"/>
        <v>3651.52</v>
      </c>
      <c r="L16" s="181" t="s">
        <v>68</v>
      </c>
      <c r="M16" s="10" t="s">
        <v>68</v>
      </c>
      <c r="N16" s="65" t="s">
        <v>273</v>
      </c>
    </row>
    <row r="17" spans="2:14" ht="26.5" customHeight="1">
      <c r="B17" s="80">
        <v>45839</v>
      </c>
      <c r="C17" s="355">
        <v>45860</v>
      </c>
      <c r="D17" s="12" t="s">
        <v>104</v>
      </c>
      <c r="E17" s="12" t="s">
        <v>105</v>
      </c>
      <c r="F17" s="12"/>
      <c r="G17" s="12" t="s">
        <v>267</v>
      </c>
      <c r="H17" s="12"/>
      <c r="I17" s="186">
        <v>4387.08</v>
      </c>
      <c r="J17" s="8">
        <v>1648.7899999999979</v>
      </c>
      <c r="K17" s="8">
        <f t="shared" si="0"/>
        <v>6035.8699999999981</v>
      </c>
      <c r="L17" s="181" t="s">
        <v>68</v>
      </c>
      <c r="M17" s="10" t="s">
        <v>68</v>
      </c>
      <c r="N17" s="65" t="s">
        <v>274</v>
      </c>
    </row>
    <row r="18" spans="2:14" ht="25" customHeight="1">
      <c r="B18" s="80">
        <v>45839</v>
      </c>
      <c r="C18" s="355">
        <v>45861</v>
      </c>
      <c r="D18" s="12" t="s">
        <v>73</v>
      </c>
      <c r="E18" s="12" t="s">
        <v>74</v>
      </c>
      <c r="F18" s="12"/>
      <c r="G18" s="12" t="s">
        <v>267</v>
      </c>
      <c r="H18" s="12"/>
      <c r="I18" s="186">
        <v>500</v>
      </c>
      <c r="J18" s="8">
        <v>1481.44</v>
      </c>
      <c r="K18" s="8">
        <f t="shared" si="0"/>
        <v>1981.44</v>
      </c>
      <c r="L18" s="179" t="s">
        <v>68</v>
      </c>
      <c r="M18" s="11" t="s">
        <v>68</v>
      </c>
      <c r="N18" s="65" t="s">
        <v>273</v>
      </c>
    </row>
    <row r="19" spans="2:14" ht="26.5" customHeight="1">
      <c r="B19" s="80">
        <v>45839</v>
      </c>
      <c r="C19" s="355">
        <v>45862</v>
      </c>
      <c r="D19" s="12" t="s">
        <v>69</v>
      </c>
      <c r="E19" s="12" t="s">
        <v>70</v>
      </c>
      <c r="F19" s="12"/>
      <c r="G19" s="12" t="s">
        <v>267</v>
      </c>
      <c r="H19" s="12"/>
      <c r="I19" s="186">
        <v>1200</v>
      </c>
      <c r="J19" s="8">
        <v>159.7000000000003</v>
      </c>
      <c r="K19" s="8">
        <f t="shared" si="0"/>
        <v>1359.7000000000003</v>
      </c>
      <c r="L19" s="179" t="s">
        <v>68</v>
      </c>
      <c r="M19" s="11" t="s">
        <v>68</v>
      </c>
      <c r="N19" s="67" t="s">
        <v>269</v>
      </c>
    </row>
    <row r="20" spans="2:14" ht="16" customHeight="1">
      <c r="B20" s="80">
        <v>45839</v>
      </c>
      <c r="C20" s="355">
        <v>45864</v>
      </c>
      <c r="D20" s="12" t="s">
        <v>71</v>
      </c>
      <c r="E20" s="12" t="s">
        <v>275</v>
      </c>
      <c r="F20" s="12"/>
      <c r="G20" s="12" t="s">
        <v>267</v>
      </c>
      <c r="H20" s="12"/>
      <c r="I20" s="186">
        <v>800</v>
      </c>
      <c r="J20" s="8">
        <v>2290.369999999999</v>
      </c>
      <c r="K20" s="8">
        <f t="shared" si="0"/>
        <v>3090.369999999999</v>
      </c>
      <c r="L20" s="179" t="s">
        <v>68</v>
      </c>
      <c r="M20" s="11" t="s">
        <v>68</v>
      </c>
      <c r="N20" s="65" t="s">
        <v>276</v>
      </c>
    </row>
    <row r="21" spans="2:14" ht="24" customHeight="1">
      <c r="B21" s="145">
        <v>45839</v>
      </c>
      <c r="C21" s="357"/>
      <c r="D21" s="22"/>
      <c r="E21" s="22"/>
      <c r="F21" s="22"/>
      <c r="G21" s="22"/>
      <c r="H21" s="22"/>
      <c r="I21" s="313"/>
      <c r="J21" s="23"/>
      <c r="K21" s="23"/>
      <c r="L21" s="182"/>
      <c r="M21" s="24"/>
      <c r="N21" s="68"/>
    </row>
    <row r="22" spans="2:14" ht="25" customHeight="1">
      <c r="B22" s="115">
        <v>45870</v>
      </c>
      <c r="C22" s="356">
        <v>45798</v>
      </c>
      <c r="D22" s="113" t="s">
        <v>60</v>
      </c>
      <c r="E22" s="114" t="s">
        <v>61</v>
      </c>
      <c r="F22" s="114"/>
      <c r="G22" s="114" t="s">
        <v>265</v>
      </c>
      <c r="H22" s="114"/>
      <c r="I22" s="180">
        <v>2360</v>
      </c>
      <c r="J22" s="73">
        <v>748.69999999999982</v>
      </c>
      <c r="K22" s="73">
        <f t="shared" ref="K22:K35" si="1">SUM(I22:J22)</f>
        <v>3108.7</v>
      </c>
      <c r="L22" s="180">
        <v>1450</v>
      </c>
      <c r="M22" s="73">
        <f>L22-SUM(I22:J22)</f>
        <v>-1658.6999999999998</v>
      </c>
      <c r="N22" s="66" t="s">
        <v>29</v>
      </c>
    </row>
    <row r="23" spans="2:14" ht="25" customHeight="1">
      <c r="B23" s="80">
        <v>45870</v>
      </c>
      <c r="C23" s="358">
        <v>45807</v>
      </c>
      <c r="D23" s="59" t="s">
        <v>161</v>
      </c>
      <c r="E23" s="18" t="s">
        <v>162</v>
      </c>
      <c r="F23" s="18"/>
      <c r="G23" s="18" t="s">
        <v>267</v>
      </c>
      <c r="H23" s="18"/>
      <c r="I23" s="274">
        <v>2000</v>
      </c>
      <c r="J23" s="20">
        <v>890.5</v>
      </c>
      <c r="K23" s="20">
        <f t="shared" si="1"/>
        <v>2890.5</v>
      </c>
      <c r="L23" s="183" t="s">
        <v>68</v>
      </c>
      <c r="M23" s="28" t="s">
        <v>68</v>
      </c>
      <c r="N23" s="65" t="s">
        <v>277</v>
      </c>
    </row>
    <row r="24" spans="2:14" ht="25" customHeight="1">
      <c r="B24" s="115">
        <v>45870</v>
      </c>
      <c r="C24" s="356">
        <v>45836</v>
      </c>
      <c r="D24" s="113" t="s">
        <v>62</v>
      </c>
      <c r="E24" s="114" t="s">
        <v>63</v>
      </c>
      <c r="F24" s="114"/>
      <c r="G24" s="114" t="s">
        <v>267</v>
      </c>
      <c r="H24" s="114"/>
      <c r="I24" s="180">
        <v>2999</v>
      </c>
      <c r="J24" s="73">
        <v>2152.84</v>
      </c>
      <c r="K24" s="73">
        <f t="shared" si="1"/>
        <v>5151.84</v>
      </c>
      <c r="L24" s="180">
        <v>5400</v>
      </c>
      <c r="M24" s="73">
        <f>L24-SUM(I24:J24)</f>
        <v>248.15999999999985</v>
      </c>
      <c r="N24" s="66" t="s">
        <v>29</v>
      </c>
    </row>
    <row r="25" spans="2:14" ht="25" customHeight="1">
      <c r="B25" s="115">
        <v>45870</v>
      </c>
      <c r="C25" s="356">
        <v>45846</v>
      </c>
      <c r="D25" s="113" t="s">
        <v>64</v>
      </c>
      <c r="E25" s="114" t="s">
        <v>65</v>
      </c>
      <c r="F25" s="114"/>
      <c r="G25" s="114" t="s">
        <v>267</v>
      </c>
      <c r="H25" s="114"/>
      <c r="I25" s="180">
        <v>450</v>
      </c>
      <c r="J25" s="73">
        <v>548.15000000000009</v>
      </c>
      <c r="K25" s="73">
        <f t="shared" si="1"/>
        <v>998.15000000000009</v>
      </c>
      <c r="L25" s="180">
        <v>1295</v>
      </c>
      <c r="M25" s="73">
        <f>L25-SUM(I25:J25)</f>
        <v>296.84999999999991</v>
      </c>
      <c r="N25" s="66" t="s">
        <v>29</v>
      </c>
    </row>
    <row r="26" spans="2:14" ht="25" customHeight="1">
      <c r="B26" s="115">
        <v>45870</v>
      </c>
      <c r="C26" s="356">
        <v>45855</v>
      </c>
      <c r="D26" s="113" t="s">
        <v>66</v>
      </c>
      <c r="E26" s="114" t="s">
        <v>67</v>
      </c>
      <c r="F26" s="114"/>
      <c r="G26" s="114" t="s">
        <v>267</v>
      </c>
      <c r="H26" s="114"/>
      <c r="I26" s="180">
        <v>750</v>
      </c>
      <c r="J26" s="73">
        <v>672.04000000000019</v>
      </c>
      <c r="K26" s="73">
        <f t="shared" si="1"/>
        <v>1422.0400000000002</v>
      </c>
      <c r="L26" s="180">
        <v>1900</v>
      </c>
      <c r="M26" s="73">
        <f>L26-SUM(I26:J26)</f>
        <v>477.95999999999981</v>
      </c>
      <c r="N26" s="66" t="s">
        <v>29</v>
      </c>
    </row>
    <row r="27" spans="2:14" ht="25" customHeight="1">
      <c r="B27" s="80">
        <v>45870</v>
      </c>
      <c r="C27" s="358">
        <v>45859</v>
      </c>
      <c r="D27" s="59" t="s">
        <v>120</v>
      </c>
      <c r="E27" s="18" t="s">
        <v>65</v>
      </c>
      <c r="F27" s="18"/>
      <c r="G27" s="18" t="s">
        <v>267</v>
      </c>
      <c r="H27" s="18"/>
      <c r="I27" s="274">
        <v>1200</v>
      </c>
      <c r="J27" s="20">
        <v>1867.9599999999989</v>
      </c>
      <c r="K27" s="20">
        <f t="shared" si="1"/>
        <v>3067.9599999999991</v>
      </c>
      <c r="L27" s="183" t="s">
        <v>68</v>
      </c>
      <c r="M27" s="28" t="s">
        <v>68</v>
      </c>
      <c r="N27" s="65" t="s">
        <v>278</v>
      </c>
    </row>
    <row r="28" spans="2:14" ht="25" customHeight="1">
      <c r="B28" s="80">
        <v>45870</v>
      </c>
      <c r="C28" s="358">
        <v>45860</v>
      </c>
      <c r="D28" s="59" t="s">
        <v>104</v>
      </c>
      <c r="E28" s="18" t="s">
        <v>105</v>
      </c>
      <c r="F28" s="18"/>
      <c r="G28" s="18" t="s">
        <v>267</v>
      </c>
      <c r="H28" s="18"/>
      <c r="I28" s="274">
        <v>4387.08</v>
      </c>
      <c r="J28" s="20">
        <v>1527.849999999999</v>
      </c>
      <c r="K28" s="20">
        <f t="shared" si="1"/>
        <v>5914.9299999999985</v>
      </c>
      <c r="L28" s="183" t="s">
        <v>68</v>
      </c>
      <c r="M28" s="28" t="s">
        <v>68</v>
      </c>
      <c r="N28" s="67" t="s">
        <v>269</v>
      </c>
    </row>
    <row r="29" spans="2:14" ht="28" customHeight="1">
      <c r="B29" s="80">
        <v>45870</v>
      </c>
      <c r="C29" s="358">
        <v>45861</v>
      </c>
      <c r="D29" s="59" t="s">
        <v>73</v>
      </c>
      <c r="E29" s="18" t="s">
        <v>74</v>
      </c>
      <c r="F29" s="18"/>
      <c r="G29" s="18" t="s">
        <v>267</v>
      </c>
      <c r="H29" s="18"/>
      <c r="I29" s="274">
        <v>500</v>
      </c>
      <c r="J29" s="20">
        <v>1251.8699999999999</v>
      </c>
      <c r="K29" s="20">
        <f t="shared" si="1"/>
        <v>1751.87</v>
      </c>
      <c r="L29" s="183" t="s">
        <v>68</v>
      </c>
      <c r="M29" s="28" t="s">
        <v>68</v>
      </c>
      <c r="N29" s="67" t="s">
        <v>269</v>
      </c>
    </row>
    <row r="30" spans="2:14" ht="25" customHeight="1">
      <c r="B30" s="115">
        <v>45870</v>
      </c>
      <c r="C30" s="356">
        <v>45862</v>
      </c>
      <c r="D30" s="113" t="s">
        <v>69</v>
      </c>
      <c r="E30" s="114" t="s">
        <v>70</v>
      </c>
      <c r="F30" s="114"/>
      <c r="G30" s="114" t="s">
        <v>267</v>
      </c>
      <c r="H30" s="114"/>
      <c r="I30" s="180">
        <v>1200</v>
      </c>
      <c r="J30" s="73">
        <v>159.7000000000003</v>
      </c>
      <c r="K30" s="73">
        <f t="shared" si="1"/>
        <v>1359.7000000000003</v>
      </c>
      <c r="L30" s="180">
        <v>2200</v>
      </c>
      <c r="M30" s="73">
        <f>L30-SUM(I30:J30)</f>
        <v>840.29999999999973</v>
      </c>
      <c r="N30" s="66" t="s">
        <v>29</v>
      </c>
    </row>
    <row r="31" spans="2:14" ht="25" customHeight="1">
      <c r="B31" s="115">
        <v>45870</v>
      </c>
      <c r="C31" s="356">
        <v>45864</v>
      </c>
      <c r="D31" s="113" t="s">
        <v>71</v>
      </c>
      <c r="E31" s="114" t="s">
        <v>72</v>
      </c>
      <c r="F31" s="114"/>
      <c r="G31" s="114" t="s">
        <v>267</v>
      </c>
      <c r="H31" s="114"/>
      <c r="I31" s="180">
        <v>800</v>
      </c>
      <c r="J31" s="73">
        <v>2290.369999999999</v>
      </c>
      <c r="K31" s="73">
        <f t="shared" si="1"/>
        <v>3090.369999999999</v>
      </c>
      <c r="L31" s="180">
        <v>3350</v>
      </c>
      <c r="M31" s="73">
        <f>L31-SUM(I31:J31)</f>
        <v>259.63000000000102</v>
      </c>
      <c r="N31" s="66" t="s">
        <v>29</v>
      </c>
    </row>
    <row r="32" spans="2:14" ht="25" customHeight="1">
      <c r="B32" s="80">
        <v>45870</v>
      </c>
      <c r="C32" s="358">
        <v>45873</v>
      </c>
      <c r="D32" s="59" t="s">
        <v>139</v>
      </c>
      <c r="E32" s="18" t="s">
        <v>70</v>
      </c>
      <c r="F32" s="18"/>
      <c r="G32" s="18" t="s">
        <v>267</v>
      </c>
      <c r="H32" s="18"/>
      <c r="I32" s="274">
        <v>2250</v>
      </c>
      <c r="J32" s="20">
        <v>1157.119999999999</v>
      </c>
      <c r="K32" s="20">
        <f t="shared" si="1"/>
        <v>3407.119999999999</v>
      </c>
      <c r="L32" s="183" t="s">
        <v>68</v>
      </c>
      <c r="M32" s="28" t="s">
        <v>68</v>
      </c>
      <c r="N32" s="67" t="s">
        <v>269</v>
      </c>
    </row>
    <row r="33" spans="2:14" ht="25" customHeight="1">
      <c r="B33" s="80">
        <v>45870</v>
      </c>
      <c r="C33" s="358">
        <v>45895</v>
      </c>
      <c r="D33" s="59" t="s">
        <v>75</v>
      </c>
      <c r="E33" s="18" t="s">
        <v>76</v>
      </c>
      <c r="F33" s="18"/>
      <c r="G33" s="18" t="s">
        <v>279</v>
      </c>
      <c r="H33" s="18"/>
      <c r="I33" s="274">
        <v>4900</v>
      </c>
      <c r="J33" s="20"/>
      <c r="K33" s="20">
        <f t="shared" si="1"/>
        <v>4900</v>
      </c>
      <c r="L33" s="183" t="s">
        <v>68</v>
      </c>
      <c r="M33" s="28" t="s">
        <v>68</v>
      </c>
      <c r="N33" s="69"/>
    </row>
    <row r="34" spans="2:14" ht="25" customHeight="1">
      <c r="B34" s="80">
        <v>45870</v>
      </c>
      <c r="C34" s="358">
        <v>45896</v>
      </c>
      <c r="D34" s="59" t="s">
        <v>77</v>
      </c>
      <c r="E34" s="18" t="s">
        <v>78</v>
      </c>
      <c r="F34" s="18"/>
      <c r="G34" s="18" t="s">
        <v>279</v>
      </c>
      <c r="H34" s="18"/>
      <c r="I34" s="274">
        <v>3769</v>
      </c>
      <c r="J34" s="20"/>
      <c r="K34" s="20">
        <f t="shared" si="1"/>
        <v>3769</v>
      </c>
      <c r="L34" s="183" t="s">
        <v>68</v>
      </c>
      <c r="M34" s="28" t="s">
        <v>68</v>
      </c>
      <c r="N34" s="69"/>
    </row>
    <row r="35" spans="2:14" ht="25" customHeight="1">
      <c r="B35" s="80">
        <v>45870</v>
      </c>
      <c r="C35" s="358">
        <v>45900</v>
      </c>
      <c r="D35" s="59" t="s">
        <v>280</v>
      </c>
      <c r="E35" s="18" t="s">
        <v>281</v>
      </c>
      <c r="F35" s="18"/>
      <c r="G35" s="18" t="s">
        <v>30</v>
      </c>
      <c r="H35" s="18"/>
      <c r="I35" s="184"/>
      <c r="J35" s="19"/>
      <c r="K35" s="20">
        <f t="shared" si="1"/>
        <v>0</v>
      </c>
      <c r="L35" s="184"/>
      <c r="M35" s="20">
        <f>L35-SUM(I35:J35)</f>
        <v>0</v>
      </c>
      <c r="N35" s="69"/>
    </row>
    <row r="36" spans="2:14" ht="25" customHeight="1">
      <c r="B36" s="145">
        <v>45870</v>
      </c>
      <c r="C36" s="359"/>
      <c r="D36" s="60"/>
      <c r="E36" s="31"/>
      <c r="F36" s="31"/>
      <c r="G36" s="31"/>
      <c r="H36" s="31"/>
      <c r="I36" s="185"/>
      <c r="J36" s="32"/>
      <c r="K36" s="33"/>
      <c r="L36" s="185"/>
      <c r="M36" s="33"/>
      <c r="N36" s="70"/>
    </row>
    <row r="37" spans="2:14" ht="21" customHeight="1">
      <c r="B37" s="81">
        <v>45901</v>
      </c>
      <c r="C37" s="355">
        <v>45807</v>
      </c>
      <c r="D37" s="12" t="s">
        <v>161</v>
      </c>
      <c r="E37" s="5" t="s">
        <v>162</v>
      </c>
      <c r="F37" s="5"/>
      <c r="G37" s="5" t="s">
        <v>267</v>
      </c>
      <c r="H37" s="5"/>
      <c r="I37" s="186">
        <v>2000</v>
      </c>
      <c r="J37" s="8">
        <v>4597.1400000000003</v>
      </c>
      <c r="K37" s="20">
        <f t="shared" ref="K37:K58" si="2">SUM(I37:J37)</f>
        <v>6597.14</v>
      </c>
      <c r="L37" s="181"/>
      <c r="M37" s="10"/>
      <c r="N37" s="71" t="s">
        <v>277</v>
      </c>
    </row>
    <row r="38" spans="2:14" ht="21" customHeight="1">
      <c r="B38" s="81">
        <v>45901</v>
      </c>
      <c r="C38" s="355">
        <v>45859</v>
      </c>
      <c r="D38" s="12" t="s">
        <v>120</v>
      </c>
      <c r="E38" s="5" t="s">
        <v>65</v>
      </c>
      <c r="F38" s="5"/>
      <c r="G38" s="5" t="s">
        <v>267</v>
      </c>
      <c r="H38" s="186"/>
      <c r="I38" s="186">
        <v>1200</v>
      </c>
      <c r="J38" s="8">
        <v>2451.52</v>
      </c>
      <c r="K38" s="20">
        <f t="shared" si="2"/>
        <v>3651.52</v>
      </c>
      <c r="L38" s="181"/>
      <c r="M38" s="10"/>
      <c r="N38" s="71" t="s">
        <v>282</v>
      </c>
    </row>
    <row r="39" spans="2:14" ht="21" customHeight="1">
      <c r="B39" s="111">
        <v>45901</v>
      </c>
      <c r="C39" s="356">
        <v>45855</v>
      </c>
      <c r="D39" s="113" t="s">
        <v>66</v>
      </c>
      <c r="E39" s="114" t="s">
        <v>67</v>
      </c>
      <c r="F39" s="114"/>
      <c r="G39" s="114" t="s">
        <v>267</v>
      </c>
      <c r="H39" s="180"/>
      <c r="I39" s="180">
        <v>750</v>
      </c>
      <c r="J39" s="73">
        <v>695.22000000000025</v>
      </c>
      <c r="K39" s="73">
        <f t="shared" si="2"/>
        <v>1445.2200000000003</v>
      </c>
      <c r="L39" s="180">
        <v>1900</v>
      </c>
      <c r="M39" s="73">
        <f>L39-SUM(I39:J39)</f>
        <v>454.77999999999975</v>
      </c>
      <c r="N39" s="66" t="s">
        <v>29</v>
      </c>
    </row>
    <row r="40" spans="2:14" ht="21" customHeight="1">
      <c r="B40" s="81">
        <v>45901</v>
      </c>
      <c r="C40" s="355">
        <v>45860</v>
      </c>
      <c r="D40" s="12" t="s">
        <v>104</v>
      </c>
      <c r="E40" s="5" t="s">
        <v>105</v>
      </c>
      <c r="F40" s="5"/>
      <c r="G40" s="5" t="s">
        <v>267</v>
      </c>
      <c r="H40" s="186"/>
      <c r="I40" s="186">
        <v>4387.08</v>
      </c>
      <c r="J40" s="8">
        <v>1648.7899999999979</v>
      </c>
      <c r="K40" s="20">
        <f t="shared" si="2"/>
        <v>6035.8699999999981</v>
      </c>
      <c r="L40" s="186"/>
      <c r="M40" s="8"/>
      <c r="N40" s="67" t="s">
        <v>269</v>
      </c>
    </row>
    <row r="41" spans="2:14" ht="21" customHeight="1">
      <c r="B41" s="111">
        <v>45901</v>
      </c>
      <c r="C41" s="356">
        <v>45861</v>
      </c>
      <c r="D41" s="113" t="s">
        <v>73</v>
      </c>
      <c r="E41" s="114" t="s">
        <v>74</v>
      </c>
      <c r="F41" s="114"/>
      <c r="G41" s="114" t="s">
        <v>267</v>
      </c>
      <c r="H41" s="180"/>
      <c r="I41" s="180">
        <v>500</v>
      </c>
      <c r="J41" s="73">
        <v>1481.44</v>
      </c>
      <c r="K41" s="73">
        <f t="shared" si="2"/>
        <v>1981.44</v>
      </c>
      <c r="L41" s="180">
        <v>2195</v>
      </c>
      <c r="M41" s="73">
        <f>L41-SUM(I41:J41)</f>
        <v>213.55999999999995</v>
      </c>
      <c r="N41" s="66" t="s">
        <v>29</v>
      </c>
    </row>
    <row r="42" spans="2:14" ht="21" customHeight="1">
      <c r="B42" s="111">
        <v>45901</v>
      </c>
      <c r="C42" s="356">
        <v>45864</v>
      </c>
      <c r="D42" s="113" t="s">
        <v>71</v>
      </c>
      <c r="E42" s="114" t="s">
        <v>72</v>
      </c>
      <c r="F42" s="114"/>
      <c r="G42" s="114" t="s">
        <v>267</v>
      </c>
      <c r="H42" s="180"/>
      <c r="I42" s="180">
        <v>800</v>
      </c>
      <c r="J42" s="73">
        <v>2290.369999999999</v>
      </c>
      <c r="K42" s="73">
        <f t="shared" si="2"/>
        <v>3090.369999999999</v>
      </c>
      <c r="L42" s="180">
        <v>3350</v>
      </c>
      <c r="M42" s="73">
        <f>L42-SUM(I42:J42)</f>
        <v>259.63000000000102</v>
      </c>
      <c r="N42" s="66" t="s">
        <v>29</v>
      </c>
    </row>
    <row r="43" spans="2:14" ht="21" customHeight="1">
      <c r="B43" s="81">
        <v>45901</v>
      </c>
      <c r="C43" s="355">
        <v>45873</v>
      </c>
      <c r="D43" s="12" t="s">
        <v>139</v>
      </c>
      <c r="E43" s="5" t="s">
        <v>70</v>
      </c>
      <c r="F43" s="5"/>
      <c r="G43" s="5" t="s">
        <v>267</v>
      </c>
      <c r="H43" s="186"/>
      <c r="I43" s="186">
        <v>2250</v>
      </c>
      <c r="J43" s="8">
        <v>1172.079999999999</v>
      </c>
      <c r="K43" s="20">
        <f t="shared" si="2"/>
        <v>3422.079999999999</v>
      </c>
      <c r="L43" s="186"/>
      <c r="M43" s="8"/>
      <c r="N43" s="67" t="s">
        <v>269</v>
      </c>
    </row>
    <row r="44" spans="2:14" ht="21" customHeight="1">
      <c r="B44" s="111">
        <v>45901</v>
      </c>
      <c r="C44" s="356">
        <v>45895</v>
      </c>
      <c r="D44" s="113" t="s">
        <v>75</v>
      </c>
      <c r="E44" s="114" t="s">
        <v>76</v>
      </c>
      <c r="F44" s="114"/>
      <c r="G44" s="114" t="s">
        <v>279</v>
      </c>
      <c r="H44" s="180"/>
      <c r="I44" s="180">
        <v>4900</v>
      </c>
      <c r="J44" s="73">
        <v>1268.4299999999989</v>
      </c>
      <c r="K44" s="73">
        <f t="shared" si="2"/>
        <v>6168.4299999999985</v>
      </c>
      <c r="L44" s="180">
        <v>7295</v>
      </c>
      <c r="M44" s="73">
        <f t="shared" ref="M44:M49" si="3">L44-SUM(I44:J44)</f>
        <v>1126.5700000000015</v>
      </c>
      <c r="N44" s="66" t="s">
        <v>29</v>
      </c>
    </row>
    <row r="45" spans="2:14" ht="21" customHeight="1">
      <c r="B45" s="111">
        <v>45901</v>
      </c>
      <c r="C45" s="356">
        <v>45896</v>
      </c>
      <c r="D45" s="113" t="s">
        <v>77</v>
      </c>
      <c r="E45" s="114" t="s">
        <v>78</v>
      </c>
      <c r="F45" s="114"/>
      <c r="G45" s="114" t="s">
        <v>279</v>
      </c>
      <c r="H45" s="180"/>
      <c r="I45" s="180">
        <v>3769</v>
      </c>
      <c r="J45" s="73">
        <v>217.54</v>
      </c>
      <c r="K45" s="73">
        <f t="shared" si="2"/>
        <v>3986.54</v>
      </c>
      <c r="L45" s="180">
        <v>5895</v>
      </c>
      <c r="M45" s="73">
        <f t="shared" si="3"/>
        <v>1908.46</v>
      </c>
      <c r="N45" s="66" t="s">
        <v>29</v>
      </c>
    </row>
    <row r="46" spans="2:14" ht="21" customHeight="1">
      <c r="B46" s="111">
        <v>45901</v>
      </c>
      <c r="C46" s="356">
        <v>45862</v>
      </c>
      <c r="D46" s="113" t="s">
        <v>69</v>
      </c>
      <c r="E46" s="114" t="s">
        <v>70</v>
      </c>
      <c r="F46" s="114"/>
      <c r="G46" s="114" t="s">
        <v>267</v>
      </c>
      <c r="H46" s="180"/>
      <c r="I46" s="180">
        <v>1200</v>
      </c>
      <c r="J46" s="73">
        <v>159.7000000000003</v>
      </c>
      <c r="K46" s="73">
        <f t="shared" si="2"/>
        <v>1359.7000000000003</v>
      </c>
      <c r="L46" s="180">
        <v>2217</v>
      </c>
      <c r="M46" s="73">
        <f t="shared" si="3"/>
        <v>857.29999999999973</v>
      </c>
      <c r="N46" s="66" t="s">
        <v>29</v>
      </c>
    </row>
    <row r="47" spans="2:14" ht="21" customHeight="1">
      <c r="B47" s="81">
        <v>45901</v>
      </c>
      <c r="C47" s="355">
        <v>45900</v>
      </c>
      <c r="D47" s="12" t="s">
        <v>280</v>
      </c>
      <c r="E47" s="5" t="s">
        <v>281</v>
      </c>
      <c r="F47" s="5"/>
      <c r="G47" s="5" t="s">
        <v>30</v>
      </c>
      <c r="H47" s="186"/>
      <c r="I47" s="186"/>
      <c r="J47" s="8">
        <v>6.5399999999999636</v>
      </c>
      <c r="K47" s="20">
        <f t="shared" si="2"/>
        <v>6.5399999999999636</v>
      </c>
      <c r="L47" s="186">
        <v>350</v>
      </c>
      <c r="M47" s="20">
        <f t="shared" si="3"/>
        <v>343.46000000000004</v>
      </c>
      <c r="N47" s="65" t="s">
        <v>283</v>
      </c>
    </row>
    <row r="48" spans="2:14" ht="21" customHeight="1">
      <c r="B48" s="111">
        <v>45901</v>
      </c>
      <c r="C48" s="356" t="s">
        <v>79</v>
      </c>
      <c r="D48" s="113" t="s">
        <v>80</v>
      </c>
      <c r="E48" s="114" t="s">
        <v>81</v>
      </c>
      <c r="F48" s="114"/>
      <c r="G48" s="114" t="s">
        <v>271</v>
      </c>
      <c r="H48" s="180"/>
      <c r="I48" s="180">
        <v>1400</v>
      </c>
      <c r="J48" s="73">
        <v>290.45999999999998</v>
      </c>
      <c r="K48" s="73">
        <f t="shared" si="2"/>
        <v>1690.46</v>
      </c>
      <c r="L48" s="180">
        <v>3200</v>
      </c>
      <c r="M48" s="73">
        <f t="shared" si="3"/>
        <v>1509.54</v>
      </c>
      <c r="N48" s="66" t="s">
        <v>29</v>
      </c>
    </row>
    <row r="49" spans="2:14" ht="21" customHeight="1">
      <c r="B49" s="111">
        <v>45901</v>
      </c>
      <c r="C49" s="356" t="s">
        <v>82</v>
      </c>
      <c r="D49" s="113" t="s">
        <v>83</v>
      </c>
      <c r="E49" s="114" t="s">
        <v>74</v>
      </c>
      <c r="F49" s="114"/>
      <c r="G49" s="114" t="s">
        <v>279</v>
      </c>
      <c r="H49" s="180"/>
      <c r="I49" s="180">
        <v>1175</v>
      </c>
      <c r="J49" s="73">
        <v>566.66999999999996</v>
      </c>
      <c r="K49" s="73">
        <f t="shared" si="2"/>
        <v>1741.67</v>
      </c>
      <c r="L49" s="180">
        <v>2295</v>
      </c>
      <c r="M49" s="73">
        <f t="shared" si="3"/>
        <v>553.32999999999993</v>
      </c>
      <c r="N49" s="66" t="s">
        <v>29</v>
      </c>
    </row>
    <row r="50" spans="2:14" ht="24" customHeight="1">
      <c r="B50" s="81">
        <v>45901</v>
      </c>
      <c r="C50" s="355" t="s">
        <v>284</v>
      </c>
      <c r="D50" s="12" t="s">
        <v>89</v>
      </c>
      <c r="E50" s="5" t="s">
        <v>90</v>
      </c>
      <c r="F50" s="5"/>
      <c r="G50" s="5" t="s">
        <v>285</v>
      </c>
      <c r="H50" s="186"/>
      <c r="I50" s="186">
        <v>2500</v>
      </c>
      <c r="J50" s="8">
        <v>1030.94</v>
      </c>
      <c r="K50" s="20">
        <f t="shared" si="2"/>
        <v>3530.94</v>
      </c>
      <c r="L50" s="186"/>
      <c r="M50" s="8"/>
      <c r="N50" s="67" t="s">
        <v>269</v>
      </c>
    </row>
    <row r="51" spans="2:14" ht="21" customHeight="1">
      <c r="B51" s="111">
        <v>45901</v>
      </c>
      <c r="C51" s="356" t="s">
        <v>84</v>
      </c>
      <c r="D51" s="113" t="s">
        <v>85</v>
      </c>
      <c r="E51" s="114" t="s">
        <v>86</v>
      </c>
      <c r="F51" s="114"/>
      <c r="G51" s="114" t="s">
        <v>285</v>
      </c>
      <c r="H51" s="180"/>
      <c r="I51" s="180">
        <v>1190</v>
      </c>
      <c r="J51" s="73">
        <v>529.95000000000005</v>
      </c>
      <c r="K51" s="73">
        <f t="shared" si="2"/>
        <v>1719.95</v>
      </c>
      <c r="L51" s="180">
        <v>2900</v>
      </c>
      <c r="M51" s="73">
        <f>L51-SUM(I51:J51)</f>
        <v>1180.05</v>
      </c>
      <c r="N51" s="66" t="s">
        <v>29</v>
      </c>
    </row>
    <row r="52" spans="2:14" ht="21.75" customHeight="1">
      <c r="B52" s="81">
        <v>45901</v>
      </c>
      <c r="C52" s="355" t="s">
        <v>286</v>
      </c>
      <c r="D52" s="12" t="s">
        <v>91</v>
      </c>
      <c r="E52" s="5" t="s">
        <v>92</v>
      </c>
      <c r="F52" s="5"/>
      <c r="G52" s="5" t="s">
        <v>279</v>
      </c>
      <c r="H52" s="186"/>
      <c r="I52" s="186">
        <v>2174.8000000000002</v>
      </c>
      <c r="J52" s="14"/>
      <c r="K52" s="20">
        <f t="shared" si="2"/>
        <v>2174.8000000000002</v>
      </c>
      <c r="L52" s="187"/>
      <c r="M52" s="13"/>
      <c r="N52" s="67" t="s">
        <v>269</v>
      </c>
    </row>
    <row r="53" spans="2:14" ht="21.75" customHeight="1">
      <c r="B53" s="111">
        <v>45901</v>
      </c>
      <c r="C53" s="356" t="s">
        <v>87</v>
      </c>
      <c r="D53" s="113" t="s">
        <v>88</v>
      </c>
      <c r="E53" s="114" t="s">
        <v>86</v>
      </c>
      <c r="F53" s="114"/>
      <c r="G53" s="114" t="s">
        <v>279</v>
      </c>
      <c r="H53" s="180"/>
      <c r="I53" s="180">
        <v>3072.8</v>
      </c>
      <c r="J53" s="73">
        <v>32.13000000000028</v>
      </c>
      <c r="K53" s="73">
        <f t="shared" si="2"/>
        <v>3104.9300000000003</v>
      </c>
      <c r="L53" s="180">
        <v>4565</v>
      </c>
      <c r="M53" s="73">
        <f>L53-SUM(I53:J53)</f>
        <v>1460.0699999999997</v>
      </c>
      <c r="N53" s="66" t="s">
        <v>29</v>
      </c>
    </row>
    <row r="54" spans="2:14" ht="21.75" customHeight="1">
      <c r="B54" s="81">
        <v>45901</v>
      </c>
      <c r="C54" s="355" t="s">
        <v>287</v>
      </c>
      <c r="D54" s="12" t="s">
        <v>93</v>
      </c>
      <c r="E54" s="5" t="s">
        <v>94</v>
      </c>
      <c r="F54" s="5"/>
      <c r="G54" s="5" t="s">
        <v>288</v>
      </c>
      <c r="H54" s="186"/>
      <c r="I54" s="186">
        <v>925</v>
      </c>
      <c r="J54" s="8">
        <v>485.43999999999983</v>
      </c>
      <c r="K54" s="20">
        <f t="shared" si="2"/>
        <v>1410.4399999999998</v>
      </c>
      <c r="L54" s="187"/>
      <c r="M54" s="13"/>
      <c r="N54" s="67" t="s">
        <v>269</v>
      </c>
    </row>
    <row r="55" spans="2:14" ht="22" customHeight="1">
      <c r="B55" s="81">
        <v>45901</v>
      </c>
      <c r="C55" s="355" t="s">
        <v>289</v>
      </c>
      <c r="D55" s="12" t="s">
        <v>95</v>
      </c>
      <c r="E55" s="5" t="s">
        <v>96</v>
      </c>
      <c r="F55" s="5"/>
      <c r="G55" s="5" t="s">
        <v>285</v>
      </c>
      <c r="H55" s="186"/>
      <c r="I55" s="186">
        <v>325</v>
      </c>
      <c r="J55" s="8">
        <v>726.15999999999985</v>
      </c>
      <c r="K55" s="20">
        <f t="shared" si="2"/>
        <v>1051.1599999999999</v>
      </c>
      <c r="L55" s="187"/>
      <c r="M55" s="13"/>
      <c r="N55" s="67" t="s">
        <v>269</v>
      </c>
    </row>
    <row r="56" spans="2:14" ht="25" customHeight="1">
      <c r="B56" s="81">
        <v>45901</v>
      </c>
      <c r="C56" s="355" t="s">
        <v>290</v>
      </c>
      <c r="D56" s="12" t="s">
        <v>97</v>
      </c>
      <c r="E56" s="5" t="s">
        <v>98</v>
      </c>
      <c r="F56" s="5"/>
      <c r="G56" s="5" t="s">
        <v>279</v>
      </c>
      <c r="H56" s="186"/>
      <c r="I56" s="186">
        <v>725</v>
      </c>
      <c r="J56" s="8">
        <v>185.31000000000009</v>
      </c>
      <c r="K56" s="20">
        <f t="shared" si="2"/>
        <v>910.31000000000006</v>
      </c>
      <c r="L56" s="187"/>
      <c r="M56" s="13"/>
      <c r="N56" s="67" t="s">
        <v>269</v>
      </c>
    </row>
    <row r="57" spans="2:14" ht="21.75" customHeight="1">
      <c r="B57" s="81">
        <v>45901</v>
      </c>
      <c r="C57" s="355" t="s">
        <v>291</v>
      </c>
      <c r="D57" s="12" t="s">
        <v>116</v>
      </c>
      <c r="E57" s="5" t="s">
        <v>81</v>
      </c>
      <c r="F57" s="5"/>
      <c r="G57" s="5" t="s">
        <v>279</v>
      </c>
      <c r="H57" s="186"/>
      <c r="I57" s="186">
        <v>2100</v>
      </c>
      <c r="J57" s="8">
        <v>1049.04</v>
      </c>
      <c r="K57" s="20">
        <f t="shared" si="2"/>
        <v>3149.04</v>
      </c>
      <c r="L57" s="187"/>
      <c r="M57" s="13"/>
      <c r="N57" s="16"/>
    </row>
    <row r="58" spans="2:14" ht="21.75" customHeight="1">
      <c r="B58" s="81">
        <v>45901</v>
      </c>
      <c r="C58" s="355" t="s">
        <v>292</v>
      </c>
      <c r="D58" s="12" t="s">
        <v>108</v>
      </c>
      <c r="E58" s="5" t="s">
        <v>109</v>
      </c>
      <c r="F58" s="5"/>
      <c r="G58" s="5" t="s">
        <v>279</v>
      </c>
      <c r="H58" s="186"/>
      <c r="I58" s="186">
        <v>3400</v>
      </c>
      <c r="J58" s="8">
        <v>966.43000000000029</v>
      </c>
      <c r="K58" s="20">
        <f t="shared" si="2"/>
        <v>4366.43</v>
      </c>
      <c r="L58" s="187"/>
      <c r="M58" s="1"/>
      <c r="N58" s="16"/>
    </row>
    <row r="59" spans="2:14" ht="21.75" customHeight="1">
      <c r="B59" s="126">
        <v>45901</v>
      </c>
      <c r="C59" s="360"/>
      <c r="D59" s="88"/>
      <c r="E59" s="32"/>
      <c r="F59" s="32"/>
      <c r="G59" s="32"/>
      <c r="H59" s="185"/>
      <c r="I59" s="185"/>
      <c r="J59" s="32"/>
      <c r="K59" s="38"/>
      <c r="L59" s="185"/>
      <c r="M59" s="32"/>
      <c r="N59" s="39"/>
    </row>
    <row r="60" spans="2:14" ht="26.25" customHeight="1">
      <c r="B60" s="81">
        <v>45931</v>
      </c>
      <c r="C60" s="355">
        <v>45807</v>
      </c>
      <c r="D60" s="12" t="s">
        <v>161</v>
      </c>
      <c r="E60" s="5" t="s">
        <v>162</v>
      </c>
      <c r="F60" s="5"/>
      <c r="G60" s="5" t="s">
        <v>267</v>
      </c>
      <c r="H60" s="186"/>
      <c r="I60" s="186">
        <v>2000</v>
      </c>
      <c r="J60" s="8">
        <v>4597.1400000000003</v>
      </c>
      <c r="K60" s="8">
        <f t="shared" ref="K60:K82" si="4">SUM(I60:J60)</f>
        <v>6597.14</v>
      </c>
      <c r="L60" s="186"/>
      <c r="M60" s="1"/>
      <c r="N60" s="64" t="s">
        <v>277</v>
      </c>
    </row>
    <row r="61" spans="2:14" ht="21.75" customHeight="1">
      <c r="B61" s="81">
        <v>45931</v>
      </c>
      <c r="C61" s="355">
        <v>45859</v>
      </c>
      <c r="D61" s="12" t="s">
        <v>120</v>
      </c>
      <c r="E61" s="5" t="s">
        <v>65</v>
      </c>
      <c r="F61" s="5"/>
      <c r="G61" s="5" t="s">
        <v>267</v>
      </c>
      <c r="H61" s="186"/>
      <c r="I61" s="186">
        <v>1200</v>
      </c>
      <c r="J61" s="8">
        <v>2451.52</v>
      </c>
      <c r="K61" s="8">
        <f t="shared" si="4"/>
        <v>3651.52</v>
      </c>
      <c r="L61" s="186"/>
      <c r="M61" s="1"/>
      <c r="N61" s="67" t="s">
        <v>269</v>
      </c>
    </row>
    <row r="62" spans="2:14" ht="21.75" customHeight="1">
      <c r="B62" s="81">
        <v>45931</v>
      </c>
      <c r="C62" s="355">
        <v>45860</v>
      </c>
      <c r="D62" s="12" t="s">
        <v>104</v>
      </c>
      <c r="E62" s="5" t="s">
        <v>105</v>
      </c>
      <c r="F62" s="5"/>
      <c r="G62" s="5" t="s">
        <v>267</v>
      </c>
      <c r="H62" s="186"/>
      <c r="I62" s="186">
        <v>4387.08</v>
      </c>
      <c r="J62" s="8">
        <v>1648.7899999999979</v>
      </c>
      <c r="K62" s="8">
        <f t="shared" si="4"/>
        <v>6035.8699999999981</v>
      </c>
      <c r="L62" s="186"/>
      <c r="M62" s="8"/>
      <c r="N62" s="67" t="s">
        <v>269</v>
      </c>
    </row>
    <row r="63" spans="2:14" ht="21.75" customHeight="1">
      <c r="B63" s="81">
        <v>45931</v>
      </c>
      <c r="C63" s="355">
        <v>45873</v>
      </c>
      <c r="D63" s="12" t="s">
        <v>139</v>
      </c>
      <c r="E63" s="5" t="s">
        <v>70</v>
      </c>
      <c r="F63" s="5"/>
      <c r="G63" s="5" t="s">
        <v>267</v>
      </c>
      <c r="H63" s="186"/>
      <c r="I63" s="186">
        <v>2250</v>
      </c>
      <c r="J63" s="8">
        <v>1172.079999999999</v>
      </c>
      <c r="K63" s="8">
        <f t="shared" si="4"/>
        <v>3422.079999999999</v>
      </c>
      <c r="L63" s="186"/>
      <c r="M63" s="1"/>
      <c r="N63" s="67" t="s">
        <v>269</v>
      </c>
    </row>
    <row r="64" spans="2:14" ht="21.75" customHeight="1">
      <c r="B64" s="111">
        <v>45931</v>
      </c>
      <c r="C64" s="356">
        <v>45906</v>
      </c>
      <c r="D64" s="113" t="s">
        <v>89</v>
      </c>
      <c r="E64" s="114" t="s">
        <v>90</v>
      </c>
      <c r="F64" s="114"/>
      <c r="G64" s="114" t="s">
        <v>267</v>
      </c>
      <c r="H64" s="180"/>
      <c r="I64" s="180">
        <v>2500</v>
      </c>
      <c r="J64" s="73">
        <v>1030.94</v>
      </c>
      <c r="K64" s="73">
        <f t="shared" si="4"/>
        <v>3530.94</v>
      </c>
      <c r="L64" s="180">
        <v>3995</v>
      </c>
      <c r="M64" s="73">
        <f>L64-SUM(I64:J64)</f>
        <v>464.05999999999995</v>
      </c>
      <c r="N64" s="66" t="s">
        <v>29</v>
      </c>
    </row>
    <row r="65" spans="2:14" ht="21.75" customHeight="1">
      <c r="B65" s="111">
        <v>45931</v>
      </c>
      <c r="C65" s="356">
        <v>45916</v>
      </c>
      <c r="D65" s="113" t="s">
        <v>91</v>
      </c>
      <c r="E65" s="114" t="s">
        <v>92</v>
      </c>
      <c r="F65" s="114"/>
      <c r="G65" s="114" t="s">
        <v>267</v>
      </c>
      <c r="H65" s="180"/>
      <c r="I65" s="180">
        <v>1900</v>
      </c>
      <c r="J65" s="73">
        <v>550.66999999999996</v>
      </c>
      <c r="K65" s="73">
        <f t="shared" si="4"/>
        <v>2450.67</v>
      </c>
      <c r="L65" s="180">
        <v>4000</v>
      </c>
      <c r="M65" s="73">
        <f>L65-SUM(I65:J65)</f>
        <v>1549.33</v>
      </c>
      <c r="N65" s="66" t="s">
        <v>29</v>
      </c>
    </row>
    <row r="66" spans="2:14" ht="21.75" customHeight="1">
      <c r="B66" s="111">
        <v>45931</v>
      </c>
      <c r="C66" s="356">
        <v>45915</v>
      </c>
      <c r="D66" s="113" t="s">
        <v>93</v>
      </c>
      <c r="E66" s="114" t="s">
        <v>94</v>
      </c>
      <c r="F66" s="114"/>
      <c r="G66" s="114" t="s">
        <v>267</v>
      </c>
      <c r="H66" s="180"/>
      <c r="I66" s="180">
        <v>925</v>
      </c>
      <c r="J66" s="73">
        <v>724.24</v>
      </c>
      <c r="K66" s="73">
        <f t="shared" si="4"/>
        <v>1649.24</v>
      </c>
      <c r="L66" s="180">
        <v>2600</v>
      </c>
      <c r="M66" s="73">
        <f>L66-SUM(I66:J66)</f>
        <v>950.76</v>
      </c>
      <c r="N66" s="66" t="s">
        <v>29</v>
      </c>
    </row>
    <row r="67" spans="2:14" ht="21.75" customHeight="1">
      <c r="B67" s="111">
        <v>45931</v>
      </c>
      <c r="C67" s="356">
        <v>45922</v>
      </c>
      <c r="D67" s="113" t="s">
        <v>95</v>
      </c>
      <c r="E67" s="114" t="s">
        <v>96</v>
      </c>
      <c r="F67" s="114"/>
      <c r="G67" s="114" t="s">
        <v>279</v>
      </c>
      <c r="H67" s="180"/>
      <c r="I67" s="180">
        <v>325</v>
      </c>
      <c r="J67" s="73">
        <v>726.15999999999985</v>
      </c>
      <c r="K67" s="73">
        <f t="shared" si="4"/>
        <v>1051.1599999999999</v>
      </c>
      <c r="L67" s="180">
        <v>2400</v>
      </c>
      <c r="M67" s="73">
        <f>L67-SUM(I67:J67)</f>
        <v>1348.8400000000001</v>
      </c>
      <c r="N67" s="66" t="s">
        <v>29</v>
      </c>
    </row>
    <row r="68" spans="2:14" ht="21.75" customHeight="1">
      <c r="B68" s="111">
        <v>45931</v>
      </c>
      <c r="C68" s="356">
        <v>45924</v>
      </c>
      <c r="D68" s="113" t="s">
        <v>97</v>
      </c>
      <c r="E68" s="114" t="s">
        <v>98</v>
      </c>
      <c r="F68" s="114"/>
      <c r="G68" s="114" t="s">
        <v>279</v>
      </c>
      <c r="H68" s="180"/>
      <c r="I68" s="180">
        <v>725</v>
      </c>
      <c r="J68" s="73">
        <v>185.31000000000009</v>
      </c>
      <c r="K68" s="73">
        <f t="shared" si="4"/>
        <v>910.31000000000006</v>
      </c>
      <c r="L68" s="180">
        <v>1995</v>
      </c>
      <c r="M68" s="73">
        <f>L68-SUM(I68:J68)</f>
        <v>1084.69</v>
      </c>
      <c r="N68" s="66" t="s">
        <v>29</v>
      </c>
    </row>
    <row r="69" spans="2:14" ht="21.75" customHeight="1">
      <c r="B69" s="81">
        <v>45931</v>
      </c>
      <c r="C69" s="355">
        <v>45928</v>
      </c>
      <c r="D69" s="12" t="s">
        <v>116</v>
      </c>
      <c r="E69" s="5" t="s">
        <v>81</v>
      </c>
      <c r="F69" s="5"/>
      <c r="G69" s="5" t="s">
        <v>267</v>
      </c>
      <c r="H69" s="186"/>
      <c r="I69" s="186">
        <v>2100</v>
      </c>
      <c r="J69" s="8">
        <v>1049.04</v>
      </c>
      <c r="K69" s="8">
        <f t="shared" si="4"/>
        <v>3149.04</v>
      </c>
      <c r="L69" s="186"/>
      <c r="M69" s="8"/>
      <c r="N69" s="67" t="s">
        <v>269</v>
      </c>
    </row>
    <row r="70" spans="2:14" ht="21.75" customHeight="1">
      <c r="B70" s="81">
        <v>45931</v>
      </c>
      <c r="C70" s="355">
        <v>45929</v>
      </c>
      <c r="D70" s="12" t="s">
        <v>108</v>
      </c>
      <c r="E70" s="5" t="s">
        <v>109</v>
      </c>
      <c r="F70" s="5"/>
      <c r="G70" s="5" t="s">
        <v>30</v>
      </c>
      <c r="H70" s="186"/>
      <c r="I70" s="186">
        <v>3400</v>
      </c>
      <c r="J70" s="8">
        <v>966.43000000000029</v>
      </c>
      <c r="K70" s="8">
        <f t="shared" si="4"/>
        <v>4366.43</v>
      </c>
      <c r="L70" s="186"/>
      <c r="M70" s="1"/>
      <c r="N70" s="67" t="s">
        <v>269</v>
      </c>
    </row>
    <row r="71" spans="2:14" ht="21.75" customHeight="1">
      <c r="B71" s="81">
        <v>45931</v>
      </c>
      <c r="C71" s="355">
        <v>45931</v>
      </c>
      <c r="D71" s="12" t="s">
        <v>126</v>
      </c>
      <c r="E71" s="5" t="s">
        <v>78</v>
      </c>
      <c r="F71" s="5"/>
      <c r="G71" s="5" t="s">
        <v>271</v>
      </c>
      <c r="H71" s="186"/>
      <c r="I71" s="186">
        <v>3100</v>
      </c>
      <c r="J71" s="8">
        <v>426.90000000000049</v>
      </c>
      <c r="K71" s="8">
        <f t="shared" si="4"/>
        <v>3526.9000000000005</v>
      </c>
      <c r="L71" s="186"/>
      <c r="M71" s="8"/>
      <c r="N71" s="67" t="s">
        <v>269</v>
      </c>
    </row>
    <row r="72" spans="2:14" ht="21.75" customHeight="1">
      <c r="B72" s="111">
        <v>45931</v>
      </c>
      <c r="C72" s="356">
        <v>45931</v>
      </c>
      <c r="D72" s="113" t="s">
        <v>99</v>
      </c>
      <c r="E72" s="114" t="s">
        <v>100</v>
      </c>
      <c r="F72" s="114"/>
      <c r="G72" s="114" t="s">
        <v>279</v>
      </c>
      <c r="H72" s="180"/>
      <c r="I72" s="180">
        <v>2800</v>
      </c>
      <c r="J72" s="73">
        <v>634.13000000000056</v>
      </c>
      <c r="K72" s="73">
        <f t="shared" si="4"/>
        <v>3434.1300000000006</v>
      </c>
      <c r="L72" s="180">
        <v>5995</v>
      </c>
      <c r="M72" s="73">
        <f>L72-SUM(I72:J72)</f>
        <v>2560.8699999999994</v>
      </c>
      <c r="N72" s="66" t="s">
        <v>29</v>
      </c>
    </row>
    <row r="73" spans="2:14" ht="21.75" customHeight="1">
      <c r="B73" s="111">
        <v>45931</v>
      </c>
      <c r="C73" s="356">
        <v>45935</v>
      </c>
      <c r="D73" s="113" t="s">
        <v>101</v>
      </c>
      <c r="E73" s="114" t="s">
        <v>102</v>
      </c>
      <c r="F73" s="114"/>
      <c r="G73" s="114" t="s">
        <v>293</v>
      </c>
      <c r="H73" s="180"/>
      <c r="I73" s="180">
        <v>1000</v>
      </c>
      <c r="J73" s="73">
        <v>625.91</v>
      </c>
      <c r="K73" s="73">
        <f t="shared" si="4"/>
        <v>1625.9099999999999</v>
      </c>
      <c r="L73" s="180">
        <v>3100</v>
      </c>
      <c r="M73" s="73">
        <f>L73-SUM(I73:J73)</f>
        <v>1474.0900000000001</v>
      </c>
      <c r="N73" s="66" t="s">
        <v>29</v>
      </c>
    </row>
    <row r="74" spans="2:14" ht="21.75" customHeight="1">
      <c r="B74" s="81">
        <v>45931</v>
      </c>
      <c r="C74" s="355">
        <v>45935</v>
      </c>
      <c r="D74" s="12" t="s">
        <v>123</v>
      </c>
      <c r="E74" s="5" t="s">
        <v>124</v>
      </c>
      <c r="F74" s="5"/>
      <c r="G74" s="5" t="s">
        <v>285</v>
      </c>
      <c r="H74" s="186"/>
      <c r="I74" s="186">
        <v>1500</v>
      </c>
      <c r="J74" s="8">
        <v>2016.24</v>
      </c>
      <c r="K74" s="8">
        <f t="shared" si="4"/>
        <v>3516.24</v>
      </c>
      <c r="L74" s="186"/>
      <c r="M74" s="8"/>
      <c r="N74" s="67" t="s">
        <v>269</v>
      </c>
    </row>
    <row r="75" spans="2:14" ht="21.75" customHeight="1">
      <c r="B75" s="81">
        <v>45931</v>
      </c>
      <c r="C75" s="355">
        <v>45947</v>
      </c>
      <c r="D75" s="12" t="s">
        <v>118</v>
      </c>
      <c r="E75" s="5" t="s">
        <v>119</v>
      </c>
      <c r="F75" s="5"/>
      <c r="G75" s="5" t="s">
        <v>279</v>
      </c>
      <c r="H75" s="186"/>
      <c r="I75" s="186">
        <v>1400</v>
      </c>
      <c r="J75" s="8">
        <v>783.05000000000018</v>
      </c>
      <c r="K75" s="8">
        <f t="shared" si="4"/>
        <v>2183.0500000000002</v>
      </c>
      <c r="L75" s="186"/>
      <c r="M75" s="1"/>
      <c r="N75" s="67" t="s">
        <v>269</v>
      </c>
    </row>
    <row r="76" spans="2:14" ht="21.75" customHeight="1">
      <c r="B76" s="81">
        <v>45931</v>
      </c>
      <c r="C76" s="355">
        <v>45946</v>
      </c>
      <c r="D76" s="12" t="s">
        <v>112</v>
      </c>
      <c r="E76" s="5" t="s">
        <v>86</v>
      </c>
      <c r="F76" s="5"/>
      <c r="G76" s="5" t="s">
        <v>279</v>
      </c>
      <c r="H76" s="186"/>
      <c r="I76" s="186">
        <v>3800</v>
      </c>
      <c r="J76" s="8">
        <v>742.54</v>
      </c>
      <c r="K76" s="8">
        <f t="shared" si="4"/>
        <v>4542.54</v>
      </c>
      <c r="L76" s="186"/>
      <c r="M76" s="1"/>
      <c r="N76" s="67" t="s">
        <v>269</v>
      </c>
    </row>
    <row r="77" spans="2:14" ht="21.75" customHeight="1">
      <c r="B77" s="81">
        <v>45931</v>
      </c>
      <c r="C77" s="355">
        <v>45950</v>
      </c>
      <c r="D77" s="12" t="s">
        <v>115</v>
      </c>
      <c r="E77" s="5" t="s">
        <v>86</v>
      </c>
      <c r="F77" s="5"/>
      <c r="G77" s="5" t="s">
        <v>279</v>
      </c>
      <c r="H77" s="186"/>
      <c r="I77" s="186">
        <v>4400</v>
      </c>
      <c r="J77" s="8">
        <v>843.21</v>
      </c>
      <c r="K77" s="8">
        <f t="shared" si="4"/>
        <v>5243.21</v>
      </c>
      <c r="L77" s="186"/>
      <c r="M77" s="1"/>
      <c r="N77" s="37"/>
    </row>
    <row r="78" spans="2:14" ht="21.75" customHeight="1">
      <c r="B78" s="111">
        <v>45931</v>
      </c>
      <c r="C78" s="356">
        <v>45950</v>
      </c>
      <c r="D78" s="113" t="s">
        <v>103</v>
      </c>
      <c r="E78" s="114" t="s">
        <v>94</v>
      </c>
      <c r="F78" s="114"/>
      <c r="G78" s="114" t="s">
        <v>279</v>
      </c>
      <c r="H78" s="180"/>
      <c r="I78" s="180">
        <v>1600</v>
      </c>
      <c r="J78" s="73">
        <v>364.54</v>
      </c>
      <c r="K78" s="73">
        <f t="shared" si="4"/>
        <v>1964.54</v>
      </c>
      <c r="L78" s="180">
        <v>2650</v>
      </c>
      <c r="M78" s="73">
        <f>L78-SUM(I78:J78)</f>
        <v>685.46</v>
      </c>
      <c r="N78" s="66" t="s">
        <v>29</v>
      </c>
    </row>
    <row r="79" spans="2:14" ht="21.75" customHeight="1">
      <c r="B79" s="81">
        <v>45931</v>
      </c>
      <c r="C79" s="355">
        <v>45950</v>
      </c>
      <c r="D79" s="12" t="s">
        <v>132</v>
      </c>
      <c r="E79" s="5" t="s">
        <v>94</v>
      </c>
      <c r="F79" s="5"/>
      <c r="G79" s="1"/>
      <c r="H79" s="187"/>
      <c r="I79" s="186">
        <v>1500</v>
      </c>
      <c r="J79" s="8"/>
      <c r="K79" s="8">
        <f t="shared" si="4"/>
        <v>1500</v>
      </c>
      <c r="L79" s="187"/>
      <c r="M79" s="1"/>
      <c r="N79" s="16"/>
    </row>
    <row r="80" spans="2:14" ht="21.75" customHeight="1">
      <c r="B80" s="81">
        <v>45931</v>
      </c>
      <c r="C80" s="355">
        <v>45959</v>
      </c>
      <c r="D80" s="12" t="s">
        <v>294</v>
      </c>
      <c r="E80" s="5" t="s">
        <v>122</v>
      </c>
      <c r="F80" s="5"/>
      <c r="G80" s="1"/>
      <c r="H80" s="187"/>
      <c r="I80" s="186">
        <v>2000</v>
      </c>
      <c r="J80" s="8"/>
      <c r="K80" s="8">
        <f t="shared" si="4"/>
        <v>2000</v>
      </c>
      <c r="L80" s="187"/>
      <c r="M80" s="1"/>
      <c r="N80" s="16"/>
    </row>
    <row r="81" spans="2:14" ht="22" customHeight="1">
      <c r="B81" s="81">
        <v>45931</v>
      </c>
      <c r="C81" s="355">
        <v>45960</v>
      </c>
      <c r="D81" s="12" t="s">
        <v>171</v>
      </c>
      <c r="E81" s="5" t="s">
        <v>122</v>
      </c>
      <c r="F81" s="5"/>
      <c r="G81" s="1"/>
      <c r="H81" s="187"/>
      <c r="I81" s="186">
        <v>1400</v>
      </c>
      <c r="J81" s="8"/>
      <c r="K81" s="8">
        <f t="shared" si="4"/>
        <v>1400</v>
      </c>
      <c r="L81" s="187"/>
      <c r="M81" s="1"/>
      <c r="N81" s="16"/>
    </row>
    <row r="82" spans="2:14" ht="22" customHeight="1">
      <c r="B82" s="81">
        <v>45931</v>
      </c>
      <c r="C82" s="355">
        <v>45961</v>
      </c>
      <c r="D82" s="12" t="s">
        <v>127</v>
      </c>
      <c r="E82" s="5" t="s">
        <v>128</v>
      </c>
      <c r="F82" s="5"/>
      <c r="G82" s="1"/>
      <c r="H82" s="187"/>
      <c r="I82" s="186">
        <v>4250</v>
      </c>
      <c r="J82" s="8"/>
      <c r="K82" s="8">
        <f t="shared" si="4"/>
        <v>4250</v>
      </c>
      <c r="L82" s="187"/>
      <c r="M82" s="1"/>
      <c r="N82" s="16"/>
    </row>
    <row r="83" spans="2:14" ht="22" customHeight="1">
      <c r="B83" s="126">
        <v>45931</v>
      </c>
      <c r="C83" s="360"/>
      <c r="D83" s="88"/>
      <c r="E83" s="32"/>
      <c r="F83" s="32"/>
      <c r="G83" s="32"/>
      <c r="H83" s="185"/>
      <c r="I83" s="185"/>
      <c r="J83" s="32"/>
      <c r="K83" s="38"/>
      <c r="L83" s="185"/>
      <c r="M83" s="32"/>
      <c r="N83" s="39"/>
    </row>
    <row r="84" spans="2:14" ht="25.5" customHeight="1">
      <c r="B84" s="81">
        <v>45962</v>
      </c>
      <c r="C84" s="355">
        <v>45807</v>
      </c>
      <c r="D84" s="12" t="s">
        <v>161</v>
      </c>
      <c r="E84" s="5" t="s">
        <v>162</v>
      </c>
      <c r="F84" s="5" t="s">
        <v>107</v>
      </c>
      <c r="G84" s="5" t="s">
        <v>267</v>
      </c>
      <c r="H84" s="186"/>
      <c r="I84" s="186">
        <v>2000</v>
      </c>
      <c r="J84" s="8">
        <f>SUM('Nissan Navara WD63 NXU'!B3:B80)</f>
        <v>4737.99</v>
      </c>
      <c r="K84" s="8">
        <f t="shared" ref="K84:K96" si="5">SUM(I84:J84)</f>
        <v>6737.99</v>
      </c>
      <c r="L84" s="186"/>
      <c r="M84" s="8"/>
      <c r="N84" s="67" t="s">
        <v>269</v>
      </c>
    </row>
    <row r="85" spans="2:14" ht="22" customHeight="1">
      <c r="B85" s="111">
        <v>45962</v>
      </c>
      <c r="C85" s="356">
        <v>45859</v>
      </c>
      <c r="D85" s="113" t="s">
        <v>120</v>
      </c>
      <c r="E85" s="114" t="s">
        <v>65</v>
      </c>
      <c r="F85" s="114" t="s">
        <v>107</v>
      </c>
      <c r="G85" s="114" t="s">
        <v>267</v>
      </c>
      <c r="H85" s="180"/>
      <c r="I85" s="180">
        <v>1200</v>
      </c>
      <c r="J85" s="73">
        <v>2451.52</v>
      </c>
      <c r="K85" s="73">
        <f t="shared" si="5"/>
        <v>3651.52</v>
      </c>
      <c r="L85" s="180">
        <v>3550</v>
      </c>
      <c r="M85" s="73">
        <f>L85-SUM(I85:J85)</f>
        <v>-101.51999999999998</v>
      </c>
      <c r="N85" s="66" t="s">
        <v>29</v>
      </c>
    </row>
    <row r="86" spans="2:14" ht="22" customHeight="1">
      <c r="B86" s="111">
        <v>45962</v>
      </c>
      <c r="C86" s="356">
        <v>45860</v>
      </c>
      <c r="D86" s="113" t="s">
        <v>104</v>
      </c>
      <c r="E86" s="114" t="s">
        <v>105</v>
      </c>
      <c r="F86" s="114" t="s">
        <v>106</v>
      </c>
      <c r="G86" s="114" t="s">
        <v>265</v>
      </c>
      <c r="H86" s="180"/>
      <c r="I86" s="180">
        <v>4387.08</v>
      </c>
      <c r="J86" s="73">
        <v>1648.7899999999979</v>
      </c>
      <c r="K86" s="73">
        <f t="shared" si="5"/>
        <v>6035.8699999999981</v>
      </c>
      <c r="L86" s="180">
        <v>6300</v>
      </c>
      <c r="M86" s="73">
        <f>L86-SUM(I86:J86)</f>
        <v>264.13000000000193</v>
      </c>
      <c r="N86" s="66" t="s">
        <v>29</v>
      </c>
    </row>
    <row r="87" spans="2:14" ht="22" customHeight="1">
      <c r="B87" s="111">
        <v>45962</v>
      </c>
      <c r="C87" s="356">
        <v>45873</v>
      </c>
      <c r="D87" s="113" t="s">
        <v>139</v>
      </c>
      <c r="E87" s="114" t="s">
        <v>70</v>
      </c>
      <c r="F87" s="114" t="s">
        <v>113</v>
      </c>
      <c r="G87" s="114" t="s">
        <v>267</v>
      </c>
      <c r="H87" s="180"/>
      <c r="I87" s="180">
        <v>2250</v>
      </c>
      <c r="J87" s="73">
        <f>350+400+180</f>
        <v>930</v>
      </c>
      <c r="K87" s="73">
        <f t="shared" si="5"/>
        <v>3180</v>
      </c>
      <c r="L87" s="180"/>
      <c r="M87" s="73"/>
      <c r="N87" s="66" t="s">
        <v>29</v>
      </c>
    </row>
    <row r="88" spans="2:14" ht="22" customHeight="1">
      <c r="B88" s="111">
        <v>45962</v>
      </c>
      <c r="C88" s="356">
        <v>45928</v>
      </c>
      <c r="D88" s="113" t="s">
        <v>116</v>
      </c>
      <c r="E88" s="114" t="s">
        <v>81</v>
      </c>
      <c r="F88" s="114" t="s">
        <v>107</v>
      </c>
      <c r="G88" s="114" t="s">
        <v>279</v>
      </c>
      <c r="H88" s="180" t="s">
        <v>295</v>
      </c>
      <c r="I88" s="180">
        <v>2100</v>
      </c>
      <c r="J88" s="73">
        <v>1049.04</v>
      </c>
      <c r="K88" s="73">
        <f t="shared" si="5"/>
        <v>3149.04</v>
      </c>
      <c r="L88" s="180">
        <v>3795</v>
      </c>
      <c r="M88" s="73">
        <f t="shared" ref="M88:M96" si="6">L88-SUM(I88:J88)</f>
        <v>645.96</v>
      </c>
      <c r="N88" s="66" t="s">
        <v>29</v>
      </c>
    </row>
    <row r="89" spans="2:14" ht="22" customHeight="1">
      <c r="B89" s="111">
        <v>45962</v>
      </c>
      <c r="C89" s="356">
        <v>45929</v>
      </c>
      <c r="D89" s="113" t="s">
        <v>108</v>
      </c>
      <c r="E89" s="114" t="s">
        <v>109</v>
      </c>
      <c r="F89" s="114" t="s">
        <v>110</v>
      </c>
      <c r="G89" s="114" t="s">
        <v>279</v>
      </c>
      <c r="H89" s="180"/>
      <c r="I89" s="180">
        <v>3400</v>
      </c>
      <c r="J89" s="73">
        <v>986.43</v>
      </c>
      <c r="K89" s="73">
        <f t="shared" si="5"/>
        <v>4386.43</v>
      </c>
      <c r="L89" s="188">
        <v>5394</v>
      </c>
      <c r="M89" s="73">
        <f t="shared" si="6"/>
        <v>1007.5699999999997</v>
      </c>
      <c r="N89" s="66" t="s">
        <v>29</v>
      </c>
    </row>
    <row r="90" spans="2:14" ht="22" customHeight="1">
      <c r="B90" s="111">
        <v>45962</v>
      </c>
      <c r="C90" s="356">
        <v>45931</v>
      </c>
      <c r="D90" s="113" t="s">
        <v>126</v>
      </c>
      <c r="E90" s="114" t="s">
        <v>78</v>
      </c>
      <c r="F90" s="114" t="s">
        <v>125</v>
      </c>
      <c r="G90" s="114" t="s">
        <v>279</v>
      </c>
      <c r="H90" s="180"/>
      <c r="I90" s="180">
        <v>3100</v>
      </c>
      <c r="J90" s="73">
        <f>SUM('Ford Fiesta MK59 FUV'!B3:B15)</f>
        <v>849.35000000000014</v>
      </c>
      <c r="K90" s="73">
        <f t="shared" si="5"/>
        <v>3949.3500000000004</v>
      </c>
      <c r="L90" s="180">
        <v>5795</v>
      </c>
      <c r="M90" s="73">
        <f t="shared" si="6"/>
        <v>1845.6499999999996</v>
      </c>
      <c r="N90" s="66" t="s">
        <v>29</v>
      </c>
    </row>
    <row r="91" spans="2:14" ht="22" customHeight="1">
      <c r="B91" s="111">
        <v>45962</v>
      </c>
      <c r="C91" s="356">
        <v>45935</v>
      </c>
      <c r="D91" s="113" t="s">
        <v>123</v>
      </c>
      <c r="E91" s="114" t="s">
        <v>124</v>
      </c>
      <c r="F91" s="114" t="s">
        <v>125</v>
      </c>
      <c r="G91" s="114" t="s">
        <v>296</v>
      </c>
      <c r="H91" s="180"/>
      <c r="I91" s="180">
        <v>1500</v>
      </c>
      <c r="J91" s="73">
        <v>2016.24</v>
      </c>
      <c r="K91" s="73">
        <f t="shared" si="5"/>
        <v>3516.24</v>
      </c>
      <c r="L91" s="180">
        <v>5591.61</v>
      </c>
      <c r="M91" s="73">
        <f t="shared" si="6"/>
        <v>2075.37</v>
      </c>
      <c r="N91" s="66" t="s">
        <v>29</v>
      </c>
    </row>
    <row r="92" spans="2:14" ht="22" customHeight="1">
      <c r="B92" s="111">
        <v>45962</v>
      </c>
      <c r="C92" s="356">
        <v>45947</v>
      </c>
      <c r="D92" s="113" t="s">
        <v>118</v>
      </c>
      <c r="E92" s="114" t="s">
        <v>119</v>
      </c>
      <c r="F92" s="114" t="s">
        <v>107</v>
      </c>
      <c r="G92" s="114" t="s">
        <v>279</v>
      </c>
      <c r="H92" s="180"/>
      <c r="I92" s="180">
        <v>1400</v>
      </c>
      <c r="J92" s="73">
        <f>783.05+238.8</f>
        <v>1021.8499999999999</v>
      </c>
      <c r="K92" s="73">
        <f t="shared" si="5"/>
        <v>2421.85</v>
      </c>
      <c r="L92" s="180">
        <v>2989.66</v>
      </c>
      <c r="M92" s="73">
        <f t="shared" si="6"/>
        <v>567.80999999999995</v>
      </c>
      <c r="N92" s="66" t="s">
        <v>29</v>
      </c>
    </row>
    <row r="93" spans="2:14" ht="22" customHeight="1">
      <c r="B93" s="111">
        <v>45962</v>
      </c>
      <c r="C93" s="356">
        <v>45948</v>
      </c>
      <c r="D93" s="113" t="s">
        <v>112</v>
      </c>
      <c r="E93" s="114" t="s">
        <v>86</v>
      </c>
      <c r="F93" s="114" t="s">
        <v>113</v>
      </c>
      <c r="G93" s="114" t="s">
        <v>279</v>
      </c>
      <c r="H93" s="180"/>
      <c r="I93" s="180">
        <v>3800</v>
      </c>
      <c r="J93" s="73">
        <v>742.54</v>
      </c>
      <c r="K93" s="73">
        <f t="shared" si="5"/>
        <v>4542.54</v>
      </c>
      <c r="L93" s="180">
        <v>5795</v>
      </c>
      <c r="M93" s="73">
        <f t="shared" si="6"/>
        <v>1252.46</v>
      </c>
      <c r="N93" s="66" t="s">
        <v>29</v>
      </c>
    </row>
    <row r="94" spans="2:14" ht="22" customHeight="1">
      <c r="B94" s="111">
        <v>45962</v>
      </c>
      <c r="C94" s="356">
        <v>45950</v>
      </c>
      <c r="D94" s="113" t="s">
        <v>115</v>
      </c>
      <c r="E94" s="114" t="s">
        <v>86</v>
      </c>
      <c r="F94" s="114" t="s">
        <v>113</v>
      </c>
      <c r="G94" s="114" t="s">
        <v>279</v>
      </c>
      <c r="H94" s="180"/>
      <c r="I94" s="180">
        <v>4400</v>
      </c>
      <c r="J94" s="73">
        <f>843.21+280</f>
        <v>1123.21</v>
      </c>
      <c r="K94" s="73">
        <f t="shared" si="5"/>
        <v>5523.21</v>
      </c>
      <c r="L94" s="189">
        <v>6795</v>
      </c>
      <c r="M94" s="73">
        <f t="shared" si="6"/>
        <v>1271.79</v>
      </c>
      <c r="N94" s="66" t="s">
        <v>29</v>
      </c>
    </row>
    <row r="95" spans="2:14" ht="22" customHeight="1">
      <c r="B95" s="111">
        <v>45962</v>
      </c>
      <c r="C95" s="356">
        <v>45950</v>
      </c>
      <c r="D95" s="113" t="s">
        <v>132</v>
      </c>
      <c r="E95" s="114" t="s">
        <v>94</v>
      </c>
      <c r="F95" s="114" t="s">
        <v>113</v>
      </c>
      <c r="G95" s="114" t="s">
        <v>279</v>
      </c>
      <c r="H95" s="180"/>
      <c r="I95" s="180">
        <v>1500</v>
      </c>
      <c r="J95" s="73">
        <f>SUM('Smart Fortwo YT63 ENJ (B)'!B3:B21)</f>
        <v>1076.0000000000002</v>
      </c>
      <c r="K95" s="73">
        <f t="shared" si="5"/>
        <v>2576</v>
      </c>
      <c r="L95" s="180">
        <v>3900</v>
      </c>
      <c r="M95" s="73">
        <f t="shared" si="6"/>
        <v>1324</v>
      </c>
      <c r="N95" s="66" t="s">
        <v>29</v>
      </c>
    </row>
    <row r="96" spans="2:14" ht="22" customHeight="1">
      <c r="B96" s="111">
        <v>45962</v>
      </c>
      <c r="C96" s="356">
        <v>45959</v>
      </c>
      <c r="D96" s="113" t="s">
        <v>121</v>
      </c>
      <c r="E96" s="114" t="s">
        <v>122</v>
      </c>
      <c r="F96" s="114" t="s">
        <v>110</v>
      </c>
      <c r="G96" s="114" t="s">
        <v>297</v>
      </c>
      <c r="H96" s="180"/>
      <c r="I96" s="180">
        <v>2000</v>
      </c>
      <c r="J96" s="73">
        <f>SUM('Fiat 500 DP64CXV White'!B3:B19)</f>
        <v>386.87</v>
      </c>
      <c r="K96" s="73">
        <f t="shared" si="5"/>
        <v>2386.87</v>
      </c>
      <c r="L96" s="180">
        <v>4695</v>
      </c>
      <c r="M96" s="73">
        <f t="shared" si="6"/>
        <v>2308.13</v>
      </c>
      <c r="N96" s="66" t="s">
        <v>29</v>
      </c>
    </row>
    <row r="97" spans="2:14" ht="22" customHeight="1">
      <c r="B97" s="81">
        <v>45962</v>
      </c>
      <c r="C97" s="355">
        <v>45960</v>
      </c>
      <c r="D97" s="12" t="s">
        <v>171</v>
      </c>
      <c r="E97" s="5" t="s">
        <v>122</v>
      </c>
      <c r="F97" s="5" t="s">
        <v>107</v>
      </c>
      <c r="G97" s="5" t="s">
        <v>279</v>
      </c>
      <c r="H97" s="186"/>
      <c r="I97" s="186">
        <v>1400</v>
      </c>
      <c r="J97" s="8">
        <f>SUM('Fiat 500 WM63 XCE Grey'!B3:B9)</f>
        <v>1131.6100000000001</v>
      </c>
      <c r="K97" s="8"/>
      <c r="L97" s="187"/>
      <c r="M97" s="8"/>
      <c r="N97" s="16"/>
    </row>
    <row r="98" spans="2:14" ht="22" customHeight="1">
      <c r="B98" s="111">
        <v>45962</v>
      </c>
      <c r="C98" s="356">
        <v>45961</v>
      </c>
      <c r="D98" s="113" t="s">
        <v>127</v>
      </c>
      <c r="E98" s="114" t="s">
        <v>128</v>
      </c>
      <c r="F98" s="114" t="s">
        <v>129</v>
      </c>
      <c r="G98" s="114" t="s">
        <v>279</v>
      </c>
      <c r="H98" s="180"/>
      <c r="I98" s="180">
        <v>4250</v>
      </c>
      <c r="J98" s="73">
        <f>SUM('Audi A5 ET65 BWO'!B3:B10)</f>
        <v>1187.6300000000001</v>
      </c>
      <c r="K98" s="73">
        <f t="shared" ref="K98:K103" si="7">SUM(I98:J98)</f>
        <v>5437.63</v>
      </c>
      <c r="L98" s="180">
        <v>8602</v>
      </c>
      <c r="M98" s="73">
        <f>L98-SUM(I98:J98)</f>
        <v>3164.37</v>
      </c>
      <c r="N98" s="66" t="s">
        <v>29</v>
      </c>
    </row>
    <row r="99" spans="2:14" ht="22" customHeight="1">
      <c r="B99" s="81">
        <v>45962</v>
      </c>
      <c r="C99" s="355">
        <v>45965</v>
      </c>
      <c r="D99" s="12" t="s">
        <v>177</v>
      </c>
      <c r="E99" s="5" t="s">
        <v>178</v>
      </c>
      <c r="F99" s="5" t="s">
        <v>135</v>
      </c>
      <c r="G99" s="5" t="s">
        <v>279</v>
      </c>
      <c r="H99" s="186"/>
      <c r="I99" s="186">
        <f>4250</f>
        <v>4250</v>
      </c>
      <c r="J99" s="8">
        <f>SUM('Nissan Qashqai KM17 YTV'!B3:B19)</f>
        <v>4111.51</v>
      </c>
      <c r="K99" s="8">
        <f t="shared" si="7"/>
        <v>8361.51</v>
      </c>
      <c r="L99" s="187"/>
      <c r="M99" s="8"/>
      <c r="N99" s="16"/>
    </row>
    <row r="100" spans="2:14" ht="22" customHeight="1">
      <c r="B100" s="111">
        <v>45962</v>
      </c>
      <c r="C100" s="356">
        <v>45970</v>
      </c>
      <c r="D100" s="113" t="s">
        <v>298</v>
      </c>
      <c r="E100" s="114" t="s">
        <v>86</v>
      </c>
      <c r="F100" s="114" t="s">
        <v>113</v>
      </c>
      <c r="G100" s="114" t="s">
        <v>279</v>
      </c>
      <c r="H100" s="180"/>
      <c r="I100" s="180">
        <v>4252.51</v>
      </c>
      <c r="J100" s="73">
        <f>SUM('Volkswagen Polo JFZ 1824'!B3:B26)</f>
        <v>643.29000000000008</v>
      </c>
      <c r="K100" s="73">
        <f t="shared" si="7"/>
        <v>4895.8</v>
      </c>
      <c r="L100" s="190"/>
      <c r="M100" s="73"/>
      <c r="N100" s="165"/>
    </row>
    <row r="101" spans="2:14" ht="26.25" customHeight="1">
      <c r="B101" s="81">
        <v>45962</v>
      </c>
      <c r="C101" s="355">
        <v>45975</v>
      </c>
      <c r="D101" s="12" t="s">
        <v>195</v>
      </c>
      <c r="E101" s="5" t="s">
        <v>122</v>
      </c>
      <c r="F101" s="5" t="s">
        <v>110</v>
      </c>
      <c r="G101" s="5" t="s">
        <v>279</v>
      </c>
      <c r="H101" s="186"/>
      <c r="I101" s="186">
        <v>3500</v>
      </c>
      <c r="J101" s="8">
        <f>SUM('Fiat 500 YB65 XPP'!B3:B26)</f>
        <v>779.18</v>
      </c>
      <c r="K101" s="8">
        <f t="shared" si="7"/>
        <v>4279.18</v>
      </c>
      <c r="L101" s="187"/>
      <c r="M101" s="1"/>
      <c r="N101" s="16"/>
    </row>
    <row r="102" spans="2:14" ht="26.25" customHeight="1">
      <c r="B102" s="81">
        <v>45962</v>
      </c>
      <c r="C102" s="355">
        <v>45975</v>
      </c>
      <c r="D102" s="12" t="s">
        <v>176</v>
      </c>
      <c r="E102" s="5" t="s">
        <v>131</v>
      </c>
      <c r="F102" s="5" t="s">
        <v>129</v>
      </c>
      <c r="G102" s="5" t="s">
        <v>279</v>
      </c>
      <c r="H102" s="186"/>
      <c r="I102" s="186">
        <v>3500</v>
      </c>
      <c r="J102" s="8">
        <f>SUM('Audi A1 MF12'!B3:B21)</f>
        <v>890.79</v>
      </c>
      <c r="K102" s="8">
        <f t="shared" si="7"/>
        <v>4390.79</v>
      </c>
      <c r="L102" s="187"/>
      <c r="M102" s="1"/>
      <c r="N102" s="16"/>
    </row>
    <row r="103" spans="2:14" ht="27.75" customHeight="1">
      <c r="B103" s="111">
        <v>45962</v>
      </c>
      <c r="C103" s="356">
        <v>45975</v>
      </c>
      <c r="D103" s="113" t="s">
        <v>130</v>
      </c>
      <c r="E103" s="114" t="s">
        <v>131</v>
      </c>
      <c r="F103" s="114" t="s">
        <v>113</v>
      </c>
      <c r="G103" s="114" t="s">
        <v>279</v>
      </c>
      <c r="H103" s="180"/>
      <c r="I103" s="180">
        <v>5075</v>
      </c>
      <c r="J103" s="73">
        <f>SUM('Audi A1 EJ11'!B3:B20)</f>
        <v>402.23</v>
      </c>
      <c r="K103" s="73">
        <f t="shared" si="7"/>
        <v>5477.23</v>
      </c>
      <c r="L103" s="180">
        <v>7250</v>
      </c>
      <c r="M103" s="73">
        <f>L103-SUM(I103:J103)</f>
        <v>1772.7700000000004</v>
      </c>
      <c r="N103" s="66" t="s">
        <v>29</v>
      </c>
    </row>
    <row r="104" spans="2:14" ht="26.25" customHeight="1">
      <c r="B104" s="81">
        <v>45962</v>
      </c>
      <c r="C104" s="355">
        <v>45976</v>
      </c>
      <c r="D104" s="12" t="s">
        <v>164</v>
      </c>
      <c r="E104" s="5" t="s">
        <v>86</v>
      </c>
      <c r="F104" s="5" t="s">
        <v>107</v>
      </c>
      <c r="G104" s="5" t="s">
        <v>270</v>
      </c>
      <c r="H104" s="186">
        <v>700</v>
      </c>
      <c r="I104" s="187"/>
      <c r="J104" s="8">
        <f>SUM('Polo HG57'!B3:B10)</f>
        <v>770.56999999999994</v>
      </c>
      <c r="K104" s="8">
        <f t="shared" ref="K104:K110" si="8">SUM(H104:J104)</f>
        <v>1470.57</v>
      </c>
      <c r="L104" s="187"/>
      <c r="M104" s="1"/>
      <c r="N104" s="16"/>
    </row>
    <row r="105" spans="2:14" ht="26.25" customHeight="1">
      <c r="B105" s="111">
        <v>45962</v>
      </c>
      <c r="C105" s="356">
        <v>45974</v>
      </c>
      <c r="D105" s="113" t="s">
        <v>137</v>
      </c>
      <c r="E105" s="114" t="s">
        <v>138</v>
      </c>
      <c r="F105" s="114" t="s">
        <v>107</v>
      </c>
      <c r="G105" s="114" t="s">
        <v>270</v>
      </c>
      <c r="H105" s="180">
        <v>200</v>
      </c>
      <c r="I105" s="190"/>
      <c r="J105" s="73">
        <f>SUM('Nissan Micra NL55 YXG'!B3:B20)</f>
        <v>0</v>
      </c>
      <c r="K105" s="73">
        <f t="shared" si="8"/>
        <v>200</v>
      </c>
      <c r="L105" s="180">
        <v>500</v>
      </c>
      <c r="M105" s="73">
        <f>L105-SUM(I105:J105)</f>
        <v>500</v>
      </c>
      <c r="N105" s="66" t="s">
        <v>29</v>
      </c>
    </row>
    <row r="106" spans="2:14" ht="26.25" customHeight="1">
      <c r="B106" s="81">
        <v>45962</v>
      </c>
      <c r="C106" s="355">
        <v>45977</v>
      </c>
      <c r="D106" s="12" t="s">
        <v>169</v>
      </c>
      <c r="E106" s="5" t="s">
        <v>170</v>
      </c>
      <c r="F106" s="5" t="s">
        <v>113</v>
      </c>
      <c r="G106" s="5" t="s">
        <v>279</v>
      </c>
      <c r="H106" s="186"/>
      <c r="I106" s="186">
        <f>4350</f>
        <v>4350</v>
      </c>
      <c r="J106" s="8">
        <f>SUM('Audi S5 SP08 KLX '!B3:B16)</f>
        <v>729.06</v>
      </c>
      <c r="K106" s="8">
        <f t="shared" si="8"/>
        <v>5079.0599999999995</v>
      </c>
      <c r="L106" s="186"/>
      <c r="M106" s="5"/>
      <c r="N106" s="37"/>
    </row>
    <row r="107" spans="2:14" ht="26.25" customHeight="1">
      <c r="B107" s="111">
        <v>45962</v>
      </c>
      <c r="C107" s="356">
        <v>45980</v>
      </c>
      <c r="D107" s="113" t="s">
        <v>144</v>
      </c>
      <c r="E107" s="114" t="s">
        <v>122</v>
      </c>
      <c r="F107" s="114" t="s">
        <v>106</v>
      </c>
      <c r="G107" s="114" t="s">
        <v>279</v>
      </c>
      <c r="H107" s="180"/>
      <c r="I107" s="180">
        <f>4000</f>
        <v>4000</v>
      </c>
      <c r="J107" s="73">
        <f>SUM('Fiat 500 CX14 PVO'!B3:B17)</f>
        <v>818.14333333333332</v>
      </c>
      <c r="K107" s="73">
        <f t="shared" si="8"/>
        <v>4818.1433333333334</v>
      </c>
      <c r="L107" s="73">
        <v>5995</v>
      </c>
      <c r="M107" s="73">
        <f>L107-SUM(I107:J107)</f>
        <v>1176.8566666666666</v>
      </c>
      <c r="N107" s="137"/>
    </row>
    <row r="108" spans="2:14" ht="26.25" customHeight="1">
      <c r="B108" s="81">
        <v>45962</v>
      </c>
      <c r="C108" s="355">
        <v>45980</v>
      </c>
      <c r="D108" s="12" t="s">
        <v>165</v>
      </c>
      <c r="E108" s="5" t="s">
        <v>166</v>
      </c>
      <c r="F108" s="5" t="s">
        <v>125</v>
      </c>
      <c r="G108" s="5" t="s">
        <v>279</v>
      </c>
      <c r="H108" s="186"/>
      <c r="I108" s="186">
        <f>4000</f>
        <v>4000</v>
      </c>
      <c r="J108" s="8">
        <f>SUM('Kuga VX15 DYU'!B3:B18)</f>
        <v>1602.5433333333331</v>
      </c>
      <c r="K108" s="8">
        <f t="shared" si="8"/>
        <v>5602.5433333333331</v>
      </c>
      <c r="L108" s="186"/>
      <c r="M108" s="5"/>
      <c r="N108" s="37"/>
    </row>
    <row r="109" spans="2:14" ht="26.25" customHeight="1">
      <c r="B109" s="111">
        <v>45962</v>
      </c>
      <c r="C109" s="356">
        <v>45980</v>
      </c>
      <c r="D109" s="113" t="s">
        <v>141</v>
      </c>
      <c r="E109" s="114" t="s">
        <v>142</v>
      </c>
      <c r="F109" s="114" t="s">
        <v>113</v>
      </c>
      <c r="G109" s="114" t="s">
        <v>279</v>
      </c>
      <c r="H109" s="180"/>
      <c r="I109" s="180">
        <f>4750</f>
        <v>4750</v>
      </c>
      <c r="J109" s="73">
        <f>SUM('Golf Match LR15 EUT'!B3:B17)</f>
        <v>498.40333333333336</v>
      </c>
      <c r="K109" s="73">
        <f t="shared" si="8"/>
        <v>5248.4033333333336</v>
      </c>
      <c r="L109" s="73">
        <v>7495</v>
      </c>
      <c r="M109" s="73">
        <f>L109-SUM(I109:J109)</f>
        <v>2246.5966666666664</v>
      </c>
      <c r="N109" s="137"/>
    </row>
    <row r="110" spans="2:14" ht="26.25" customHeight="1">
      <c r="B110" s="81">
        <v>45962</v>
      </c>
      <c r="C110" s="355">
        <v>45983</v>
      </c>
      <c r="D110" s="12" t="s">
        <v>181</v>
      </c>
      <c r="E110" s="5" t="s">
        <v>182</v>
      </c>
      <c r="F110" s="5" t="s">
        <v>125</v>
      </c>
      <c r="G110" s="5" t="s">
        <v>279</v>
      </c>
      <c r="H110" s="186"/>
      <c r="I110" s="186">
        <v>4000</v>
      </c>
      <c r="J110" s="8">
        <f>SUM('Polo BlueGT CE65 MJJ'!B3:B21)</f>
        <v>783.32000000000016</v>
      </c>
      <c r="K110" s="8">
        <f t="shared" si="8"/>
        <v>4783.32</v>
      </c>
      <c r="L110" s="186"/>
      <c r="M110" s="5"/>
      <c r="N110" s="37"/>
    </row>
    <row r="111" spans="2:14" ht="26.25" customHeight="1">
      <c r="B111" s="111">
        <v>45962</v>
      </c>
      <c r="C111" s="356">
        <v>45985</v>
      </c>
      <c r="D111" s="113" t="s">
        <v>133</v>
      </c>
      <c r="E111" s="114" t="s">
        <v>134</v>
      </c>
      <c r="F111" s="114" t="s">
        <v>135</v>
      </c>
      <c r="G111" s="114" t="s">
        <v>297</v>
      </c>
      <c r="H111" s="180" t="s">
        <v>136</v>
      </c>
      <c r="I111" s="180">
        <v>5800</v>
      </c>
      <c r="J111" s="73">
        <f>SUM('Audi A4 YB15GRU'!B3:B15)</f>
        <v>175.85</v>
      </c>
      <c r="K111" s="73">
        <f>SUM(I111:J111)</f>
        <v>5975.85</v>
      </c>
      <c r="L111" s="180">
        <v>7400</v>
      </c>
      <c r="M111" s="73"/>
      <c r="N111" s="137" t="s">
        <v>29</v>
      </c>
    </row>
    <row r="112" spans="2:14" ht="26.25" customHeight="1">
      <c r="B112" s="81">
        <v>45962</v>
      </c>
      <c r="C112" s="355">
        <v>45985</v>
      </c>
      <c r="D112" s="12" t="s">
        <v>196</v>
      </c>
      <c r="E112" s="5" t="s">
        <v>197</v>
      </c>
      <c r="F112" s="5" t="s">
        <v>110</v>
      </c>
      <c r="G112" s="5" t="s">
        <v>297</v>
      </c>
      <c r="H112" s="186" t="s">
        <v>299</v>
      </c>
      <c r="I112" s="186">
        <v>2625</v>
      </c>
      <c r="J112" s="8">
        <f>SUM('Jaguar XF OY61 UTH'!B4:B17)</f>
        <v>543.13666666666677</v>
      </c>
      <c r="K112" s="8">
        <f>SUM(H112:J112)</f>
        <v>3168.1366666666668</v>
      </c>
      <c r="L112" s="186"/>
      <c r="M112" s="20"/>
      <c r="N112" s="37"/>
    </row>
    <row r="113" spans="2:14" ht="27" customHeight="1">
      <c r="B113" s="111">
        <v>45962</v>
      </c>
      <c r="C113" s="356">
        <v>45985</v>
      </c>
      <c r="D113" s="113" t="s">
        <v>152</v>
      </c>
      <c r="E113" s="114" t="s">
        <v>300</v>
      </c>
      <c r="F113" s="114" t="s">
        <v>107</v>
      </c>
      <c r="G113" s="114" t="s">
        <v>297</v>
      </c>
      <c r="H113" s="180"/>
      <c r="I113" s="180">
        <v>2100</v>
      </c>
      <c r="J113" s="73">
        <f>SUM('Peugot 107 LN11 '!B3:B18)</f>
        <v>471.2166666666667</v>
      </c>
      <c r="K113" s="73">
        <f>SUM(H113:J113)</f>
        <v>2571.2166666666667</v>
      </c>
      <c r="L113" s="180">
        <v>3500</v>
      </c>
      <c r="M113" s="73">
        <f>L113-SUM(I113:J113)</f>
        <v>928.7833333333333</v>
      </c>
      <c r="N113" s="137"/>
    </row>
    <row r="114" spans="2:14" ht="26.25" customHeight="1">
      <c r="B114" s="81">
        <v>45962</v>
      </c>
      <c r="C114" s="355">
        <v>45989</v>
      </c>
      <c r="D114" s="12" t="s">
        <v>185</v>
      </c>
      <c r="E114" s="5" t="s">
        <v>186</v>
      </c>
      <c r="F114" s="5" t="s">
        <v>113</v>
      </c>
      <c r="G114" s="5" t="s">
        <v>279</v>
      </c>
      <c r="H114" s="186"/>
      <c r="I114" s="186">
        <v>4650</v>
      </c>
      <c r="J114" s="8">
        <f>SUM('Honda CRV KU13 FBF'!B3:B25)</f>
        <v>1082.32</v>
      </c>
      <c r="K114" s="8">
        <f>SUM(H114:J114)</f>
        <v>5732.32</v>
      </c>
      <c r="L114" s="186"/>
      <c r="M114" s="5"/>
      <c r="N114" s="37"/>
    </row>
    <row r="115" spans="2:14" ht="26.25" customHeight="1">
      <c r="B115" s="81">
        <v>45962</v>
      </c>
      <c r="C115" s="355">
        <v>45989</v>
      </c>
      <c r="D115" s="62" t="s">
        <v>238</v>
      </c>
      <c r="E115" s="62" t="s">
        <v>239</v>
      </c>
      <c r="F115" s="62" t="s">
        <v>107</v>
      </c>
      <c r="G115" s="5" t="s">
        <v>279</v>
      </c>
      <c r="H115" s="191"/>
      <c r="I115" s="191">
        <v>3200</v>
      </c>
      <c r="J115" s="131">
        <f>SUM('Polo MF14 TUH'!B3:B21)</f>
        <v>1701.89</v>
      </c>
      <c r="K115" s="8">
        <f>SUM(H115:J115)</f>
        <v>4901.8900000000003</v>
      </c>
      <c r="L115" s="191"/>
      <c r="M115" s="131"/>
      <c r="N115" s="132"/>
    </row>
    <row r="116" spans="2:14" ht="26.25" customHeight="1">
      <c r="B116" s="111">
        <v>45962</v>
      </c>
      <c r="C116" s="356">
        <v>45990</v>
      </c>
      <c r="D116" s="112" t="s">
        <v>145</v>
      </c>
      <c r="E116" s="112" t="s">
        <v>301</v>
      </c>
      <c r="F116" s="112" t="s">
        <v>129</v>
      </c>
      <c r="G116" s="112"/>
      <c r="H116" s="178"/>
      <c r="I116" s="178">
        <v>3900</v>
      </c>
      <c r="J116" s="152">
        <f>SUM('Mazda 6'!B3:B16)</f>
        <v>499.21</v>
      </c>
      <c r="K116" s="73">
        <f>SUM(H116:J116)</f>
        <v>4399.21</v>
      </c>
      <c r="L116" s="178">
        <v>7250</v>
      </c>
      <c r="M116" s="73">
        <f>L116-SUM(I116:J116)</f>
        <v>2850.79</v>
      </c>
      <c r="N116" s="137"/>
    </row>
    <row r="117" spans="2:14" ht="26.25" customHeight="1">
      <c r="B117" s="111">
        <v>45962</v>
      </c>
      <c r="C117" s="356">
        <v>45991</v>
      </c>
      <c r="D117" s="112" t="s">
        <v>147</v>
      </c>
      <c r="E117" s="112" t="s">
        <v>148</v>
      </c>
      <c r="F117" s="112"/>
      <c r="G117" s="114" t="s">
        <v>270</v>
      </c>
      <c r="H117" s="178">
        <v>800</v>
      </c>
      <c r="I117" s="178"/>
      <c r="J117" s="152">
        <f>SUM('Audi A3 HG08 EPZ'!B3:B21)</f>
        <v>8</v>
      </c>
      <c r="K117" s="152"/>
      <c r="L117" s="178">
        <v>1995</v>
      </c>
      <c r="M117" s="73">
        <f>L117-SUM(I117:J117)</f>
        <v>1987</v>
      </c>
      <c r="N117" s="137"/>
    </row>
    <row r="118" spans="2:14" ht="26.25" customHeight="1">
      <c r="B118" s="126">
        <v>45962</v>
      </c>
      <c r="C118" s="359"/>
      <c r="D118" s="63"/>
      <c r="E118" s="63"/>
      <c r="F118" s="63"/>
      <c r="G118" s="63"/>
      <c r="H118" s="192"/>
      <c r="I118" s="192"/>
      <c r="J118" s="63"/>
      <c r="K118" s="63"/>
      <c r="L118" s="192"/>
      <c r="M118" s="63"/>
      <c r="N118" s="134"/>
    </row>
    <row r="119" spans="2:14" ht="26.25" customHeight="1">
      <c r="B119" s="147">
        <v>45992</v>
      </c>
      <c r="C119" s="356">
        <v>45807</v>
      </c>
      <c r="D119" s="113" t="s">
        <v>161</v>
      </c>
      <c r="E119" s="114" t="s">
        <v>162</v>
      </c>
      <c r="F119" s="114" t="s">
        <v>107</v>
      </c>
      <c r="G119" s="114" t="s">
        <v>267</v>
      </c>
      <c r="H119" s="180"/>
      <c r="I119" s="180">
        <v>2000</v>
      </c>
      <c r="J119" s="73">
        <f>SUM('Nissan Navara WD63 NXU'!B3:B116)</f>
        <v>4737.99</v>
      </c>
      <c r="K119" s="73">
        <f>SUM(I119:J119)</f>
        <v>6737.99</v>
      </c>
      <c r="L119" s="180">
        <v>9994</v>
      </c>
      <c r="M119" s="73">
        <f>Table12[[#This Row],[Sold]]-Table12[[#This Row],[Total Cost]]</f>
        <v>3256.01</v>
      </c>
      <c r="N119" s="66" t="s">
        <v>29</v>
      </c>
    </row>
    <row r="120" spans="2:14" ht="26.25" customHeight="1">
      <c r="B120" s="147">
        <v>45992</v>
      </c>
      <c r="C120" s="356">
        <v>45873</v>
      </c>
      <c r="D120" s="113" t="s">
        <v>139</v>
      </c>
      <c r="E120" s="114" t="s">
        <v>70</v>
      </c>
      <c r="F120" s="114" t="s">
        <v>113</v>
      </c>
      <c r="G120" s="114" t="s">
        <v>267</v>
      </c>
      <c r="H120" s="180"/>
      <c r="I120" s="180">
        <v>2250</v>
      </c>
      <c r="J120" s="73">
        <f>SUM('Ford Fiesta EA65 NDL'!B3:B30)</f>
        <v>1306.6099999999999</v>
      </c>
      <c r="K120" s="73">
        <f>SUM(I120:J120)</f>
        <v>3556.6099999999997</v>
      </c>
      <c r="L120" s="180">
        <v>3815</v>
      </c>
      <c r="M120" s="73">
        <f>L120-SUM(I120:J120)</f>
        <v>258.39000000000033</v>
      </c>
      <c r="N120" s="137" t="s">
        <v>29</v>
      </c>
    </row>
    <row r="121" spans="2:14" ht="26.25" customHeight="1">
      <c r="B121" s="133">
        <v>45992</v>
      </c>
      <c r="C121" s="355">
        <v>45983</v>
      </c>
      <c r="D121" s="12" t="s">
        <v>181</v>
      </c>
      <c r="E121" s="5" t="s">
        <v>182</v>
      </c>
      <c r="F121" s="5" t="s">
        <v>125</v>
      </c>
      <c r="G121" s="5" t="s">
        <v>279</v>
      </c>
      <c r="H121" s="186"/>
      <c r="I121" s="186">
        <v>4000</v>
      </c>
      <c r="J121" s="8">
        <f>SUM('Polo BlueGT CE65 MJJ'!B3:B57)</f>
        <v>783.32000000000016</v>
      </c>
      <c r="K121" s="8">
        <f>SUM(H121:J121)</f>
        <v>4783.32</v>
      </c>
      <c r="L121" s="186"/>
      <c r="M121" s="5"/>
      <c r="N121" s="37"/>
    </row>
    <row r="122" spans="2:14" ht="26.25" customHeight="1">
      <c r="B122" s="147">
        <v>45992</v>
      </c>
      <c r="C122" s="356">
        <v>45980</v>
      </c>
      <c r="D122" s="113" t="s">
        <v>144</v>
      </c>
      <c r="E122" s="114" t="s">
        <v>122</v>
      </c>
      <c r="F122" s="114" t="s">
        <v>106</v>
      </c>
      <c r="G122" s="114" t="s">
        <v>279</v>
      </c>
      <c r="H122" s="180"/>
      <c r="I122" s="180">
        <f>4000</f>
        <v>4000</v>
      </c>
      <c r="J122" s="73">
        <f>SUM('Fiat 500 CX14 PVO'!B3:B53)</f>
        <v>818.14333333333332</v>
      </c>
      <c r="K122" s="73">
        <f>SUM(H122:J122)</f>
        <v>4818.1433333333334</v>
      </c>
      <c r="L122" s="180">
        <v>5995</v>
      </c>
      <c r="M122" s="73">
        <f>L122-SUM(I122:J122)</f>
        <v>1176.8566666666666</v>
      </c>
      <c r="N122" s="137" t="s">
        <v>29</v>
      </c>
    </row>
    <row r="123" spans="2:14" ht="26.25" customHeight="1">
      <c r="B123" s="147">
        <v>45992</v>
      </c>
      <c r="C123" s="356">
        <v>45991</v>
      </c>
      <c r="D123" s="112" t="s">
        <v>147</v>
      </c>
      <c r="E123" s="112" t="s">
        <v>148</v>
      </c>
      <c r="F123" s="112" t="s">
        <v>107</v>
      </c>
      <c r="G123" s="114" t="s">
        <v>270</v>
      </c>
      <c r="H123" s="178">
        <v>800</v>
      </c>
      <c r="I123" s="178"/>
      <c r="J123" s="152">
        <f>SUM('Audi A3 HG08 EPZ'!B3:B42)</f>
        <v>8</v>
      </c>
      <c r="K123" s="73">
        <f>SUM(H123:J123)</f>
        <v>808</v>
      </c>
      <c r="L123" s="180">
        <v>1995</v>
      </c>
      <c r="M123" s="73">
        <f>L123-SUM(I123:J123)</f>
        <v>1987</v>
      </c>
      <c r="N123" s="137" t="s">
        <v>29</v>
      </c>
    </row>
    <row r="124" spans="2:14" ht="26.25" customHeight="1">
      <c r="B124" s="133">
        <v>45992</v>
      </c>
      <c r="C124" s="355">
        <v>45976</v>
      </c>
      <c r="D124" s="12" t="s">
        <v>164</v>
      </c>
      <c r="E124" s="5" t="s">
        <v>86</v>
      </c>
      <c r="F124" s="5" t="s">
        <v>107</v>
      </c>
      <c r="G124" s="5" t="s">
        <v>270</v>
      </c>
      <c r="H124" s="186">
        <v>700</v>
      </c>
      <c r="I124" s="187"/>
      <c r="J124" s="8">
        <f>SUM('Polo HG57'!B3:B46)</f>
        <v>783.6099999999999</v>
      </c>
      <c r="K124" s="8">
        <f>SUM(H124:J124)</f>
        <v>1483.61</v>
      </c>
      <c r="L124" s="186">
        <v>2950</v>
      </c>
      <c r="M124" s="1"/>
      <c r="N124" s="37" t="s">
        <v>29</v>
      </c>
    </row>
    <row r="125" spans="2:14" ht="26.25" customHeight="1">
      <c r="B125" s="147">
        <v>45992</v>
      </c>
      <c r="C125" s="356">
        <v>45970</v>
      </c>
      <c r="D125" s="113" t="s">
        <v>298</v>
      </c>
      <c r="E125" s="114" t="s">
        <v>86</v>
      </c>
      <c r="F125" s="114" t="s">
        <v>113</v>
      </c>
      <c r="G125" s="114" t="s">
        <v>279</v>
      </c>
      <c r="H125" s="180"/>
      <c r="I125" s="180">
        <v>4252.51</v>
      </c>
      <c r="J125" s="73">
        <f>SUM('Volkswagen Polo JFZ 1824'!B3:B62)</f>
        <v>643.29000000000008</v>
      </c>
      <c r="K125" s="73">
        <f>SUM(I125:J125)</f>
        <v>4895.8</v>
      </c>
      <c r="L125" s="180">
        <v>7295</v>
      </c>
      <c r="M125" s="73">
        <f>Table12[[#This Row],[Sold]]-Table12[[#This Row],[Total Cost]]</f>
        <v>2399.1999999999998</v>
      </c>
      <c r="N125" s="137" t="s">
        <v>29</v>
      </c>
    </row>
    <row r="126" spans="2:14" ht="26.25" customHeight="1">
      <c r="B126" s="133">
        <v>45992</v>
      </c>
      <c r="C126" s="355">
        <v>45965</v>
      </c>
      <c r="D126" s="12" t="s">
        <v>177</v>
      </c>
      <c r="E126" s="5" t="s">
        <v>178</v>
      </c>
      <c r="F126" s="5" t="s">
        <v>135</v>
      </c>
      <c r="G126" s="5" t="s">
        <v>279</v>
      </c>
      <c r="H126" s="186"/>
      <c r="I126" s="186">
        <f>4250</f>
        <v>4250</v>
      </c>
      <c r="J126" s="8">
        <f>SUM('Nissan Qashqai KM17 YTV'!B3:B55)</f>
        <v>4111.51</v>
      </c>
      <c r="K126" s="8">
        <f>SUM(I126:J126)</f>
        <v>8361.51</v>
      </c>
      <c r="L126" s="187"/>
      <c r="M126" s="8"/>
      <c r="N126" s="16"/>
    </row>
    <row r="127" spans="2:14" ht="26.25" customHeight="1">
      <c r="B127" s="133">
        <v>45992</v>
      </c>
      <c r="C127" s="355">
        <v>45989</v>
      </c>
      <c r="D127" s="12" t="s">
        <v>185</v>
      </c>
      <c r="E127" s="5" t="s">
        <v>186</v>
      </c>
      <c r="F127" s="5" t="s">
        <v>113</v>
      </c>
      <c r="G127" s="5" t="s">
        <v>279</v>
      </c>
      <c r="H127" s="186"/>
      <c r="I127" s="186">
        <v>4650</v>
      </c>
      <c r="J127" s="8">
        <f>SUM('Honda CRV KU13 FBF'!B3:B61)</f>
        <v>1082.32</v>
      </c>
      <c r="K127" s="8">
        <f>SUM(H127:J127)</f>
        <v>5732.32</v>
      </c>
      <c r="L127" s="186"/>
      <c r="M127" s="5"/>
      <c r="N127" s="37"/>
    </row>
    <row r="128" spans="2:14" ht="26.25" customHeight="1">
      <c r="B128" s="147">
        <v>45992</v>
      </c>
      <c r="C128" s="356">
        <v>45985</v>
      </c>
      <c r="D128" s="113" t="s">
        <v>152</v>
      </c>
      <c r="E128" s="114" t="s">
        <v>300</v>
      </c>
      <c r="F128" s="114" t="s">
        <v>107</v>
      </c>
      <c r="G128" s="114" t="s">
        <v>297</v>
      </c>
      <c r="H128" s="180"/>
      <c r="I128" s="180">
        <v>2100</v>
      </c>
      <c r="J128" s="73">
        <f>SUM('Peugot 107 LN11 '!B3:B54)</f>
        <v>471.2166666666667</v>
      </c>
      <c r="K128" s="73">
        <f>SUM(H128:J128)</f>
        <v>2571.2166666666667</v>
      </c>
      <c r="L128" s="180">
        <v>3500</v>
      </c>
      <c r="M128" s="73">
        <f>L128-SUM(I128:J128)</f>
        <v>928.7833333333333</v>
      </c>
      <c r="N128" s="137" t="s">
        <v>29</v>
      </c>
    </row>
    <row r="129" spans="2:14" ht="26.25" customHeight="1">
      <c r="B129" s="147">
        <v>45992</v>
      </c>
      <c r="C129" s="356">
        <v>45980</v>
      </c>
      <c r="D129" s="113" t="s">
        <v>141</v>
      </c>
      <c r="E129" s="114" t="s">
        <v>142</v>
      </c>
      <c r="F129" s="114" t="s">
        <v>113</v>
      </c>
      <c r="G129" s="114" t="s">
        <v>279</v>
      </c>
      <c r="H129" s="180"/>
      <c r="I129" s="180">
        <f>4750</f>
        <v>4750</v>
      </c>
      <c r="J129" s="73">
        <f>SUM('Golf Match LR15 EUT'!B3:B53)</f>
        <v>498.40333333333336</v>
      </c>
      <c r="K129" s="73">
        <f>SUM(H129:J129)</f>
        <v>5248.4033333333336</v>
      </c>
      <c r="L129" s="180">
        <v>7495</v>
      </c>
      <c r="M129" s="73">
        <f>L129-SUM(I129:J129)</f>
        <v>2246.5966666666664</v>
      </c>
      <c r="N129" s="137" t="s">
        <v>29</v>
      </c>
    </row>
    <row r="130" spans="2:14" ht="26.25" customHeight="1">
      <c r="B130" s="133">
        <v>45992</v>
      </c>
      <c r="C130" s="355">
        <v>45975</v>
      </c>
      <c r="D130" s="12" t="s">
        <v>176</v>
      </c>
      <c r="E130" s="5" t="s">
        <v>131</v>
      </c>
      <c r="F130" s="5" t="s">
        <v>129</v>
      </c>
      <c r="G130" s="5" t="s">
        <v>279</v>
      </c>
      <c r="H130" s="186"/>
      <c r="I130" s="186">
        <v>3500</v>
      </c>
      <c r="J130" s="8">
        <f>SUM('Audi A1 MF12'!B3:B57)</f>
        <v>890.79</v>
      </c>
      <c r="K130" s="8">
        <f>SUM(I130:J130)</f>
        <v>4390.79</v>
      </c>
      <c r="L130" s="187"/>
      <c r="M130" s="1"/>
      <c r="N130" s="16"/>
    </row>
    <row r="131" spans="2:14" ht="26.25" customHeight="1">
      <c r="B131" s="133">
        <v>45992</v>
      </c>
      <c r="C131" s="355">
        <v>45989</v>
      </c>
      <c r="D131" s="62" t="s">
        <v>238</v>
      </c>
      <c r="E131" s="62" t="s">
        <v>239</v>
      </c>
      <c r="F131" s="62" t="s">
        <v>107</v>
      </c>
      <c r="G131" s="5" t="s">
        <v>279</v>
      </c>
      <c r="H131" s="191"/>
      <c r="I131" s="191">
        <v>3200</v>
      </c>
      <c r="J131" s="131">
        <f>SUM('Polo MF14 TUH'!B3:B57)</f>
        <v>1701.89</v>
      </c>
      <c r="K131" s="8">
        <f>SUM(H131:J131)</f>
        <v>4901.8900000000003</v>
      </c>
      <c r="L131" s="191"/>
      <c r="M131" s="131"/>
      <c r="N131" s="132"/>
    </row>
    <row r="132" spans="2:14" ht="26.25" customHeight="1">
      <c r="B132" s="147">
        <v>45992</v>
      </c>
      <c r="C132" s="356">
        <v>45990</v>
      </c>
      <c r="D132" s="112" t="s">
        <v>145</v>
      </c>
      <c r="E132" s="112" t="s">
        <v>146</v>
      </c>
      <c r="F132" s="112" t="s">
        <v>129</v>
      </c>
      <c r="G132" s="112" t="s">
        <v>279</v>
      </c>
      <c r="H132" s="178"/>
      <c r="I132" s="178">
        <v>3900</v>
      </c>
      <c r="J132" s="152">
        <f>SUM('Mazda 6'!B3:B37)</f>
        <v>499.21</v>
      </c>
      <c r="K132" s="73">
        <f>SUM(H132:J132)</f>
        <v>4399.21</v>
      </c>
      <c r="L132" s="180">
        <v>7250</v>
      </c>
      <c r="M132" s="73">
        <f>L132-SUM(I132:J132)</f>
        <v>2850.79</v>
      </c>
      <c r="N132" s="137" t="s">
        <v>29</v>
      </c>
    </row>
    <row r="133" spans="2:14" ht="26.25" customHeight="1">
      <c r="B133" s="133">
        <v>45992</v>
      </c>
      <c r="C133" s="355">
        <v>45985</v>
      </c>
      <c r="D133" s="12" t="s">
        <v>196</v>
      </c>
      <c r="E133" s="5" t="s">
        <v>197</v>
      </c>
      <c r="F133" s="5" t="s">
        <v>110</v>
      </c>
      <c r="G133" s="5" t="s">
        <v>297</v>
      </c>
      <c r="H133" s="186"/>
      <c r="I133" s="186">
        <v>2625</v>
      </c>
      <c r="J133" s="8">
        <f>SUM('Jaguar XF OY61 UTH'!B4:B53)</f>
        <v>543.13666666666677</v>
      </c>
      <c r="K133" s="8">
        <f>SUM(H133:J133)</f>
        <v>3168.1366666666668</v>
      </c>
      <c r="L133" s="186"/>
      <c r="M133" s="5"/>
      <c r="N133" s="37"/>
    </row>
    <row r="134" spans="2:14" ht="26.25" customHeight="1">
      <c r="B134" s="133">
        <v>45992</v>
      </c>
      <c r="C134" s="355">
        <v>45977</v>
      </c>
      <c r="D134" s="12" t="s">
        <v>169</v>
      </c>
      <c r="E134" s="5" t="s">
        <v>170</v>
      </c>
      <c r="F134" s="5" t="s">
        <v>113</v>
      </c>
      <c r="G134" s="5" t="s">
        <v>279</v>
      </c>
      <c r="H134" s="186"/>
      <c r="I134" s="186">
        <f>4350</f>
        <v>4350</v>
      </c>
      <c r="J134" s="8">
        <f>SUM('Audi S5 SP08 KLX '!B3:B50)</f>
        <v>1144.4599999999998</v>
      </c>
      <c r="K134" s="8">
        <f>SUM(H134:J134)</f>
        <v>5494.46</v>
      </c>
      <c r="L134" s="186"/>
      <c r="M134" s="5"/>
      <c r="N134" s="37"/>
    </row>
    <row r="135" spans="2:14" ht="26.25" customHeight="1">
      <c r="B135" s="133">
        <v>45992</v>
      </c>
      <c r="C135" s="355">
        <v>45980</v>
      </c>
      <c r="D135" s="12" t="s">
        <v>165</v>
      </c>
      <c r="E135" s="5" t="s">
        <v>166</v>
      </c>
      <c r="F135" s="5" t="s">
        <v>125</v>
      </c>
      <c r="G135" s="5" t="s">
        <v>279</v>
      </c>
      <c r="H135" s="186"/>
      <c r="I135" s="186">
        <f>4000</f>
        <v>4000</v>
      </c>
      <c r="J135" s="8">
        <f>SUM('Kuga VX15 DYU'!B3:B54)</f>
        <v>1602.5433333333331</v>
      </c>
      <c r="K135" s="8">
        <f>SUM(H135:J135)</f>
        <v>5602.5433333333331</v>
      </c>
      <c r="L135" s="186"/>
      <c r="M135" s="5"/>
      <c r="N135" s="37"/>
    </row>
    <row r="136" spans="2:14" ht="26.25" customHeight="1">
      <c r="B136" s="133">
        <v>45992</v>
      </c>
      <c r="C136" s="355">
        <v>45960</v>
      </c>
      <c r="D136" s="12" t="s">
        <v>171</v>
      </c>
      <c r="E136" s="5" t="s">
        <v>122</v>
      </c>
      <c r="F136" s="5" t="s">
        <v>107</v>
      </c>
      <c r="G136" s="5" t="s">
        <v>279</v>
      </c>
      <c r="H136" s="186"/>
      <c r="I136" s="186">
        <v>1400</v>
      </c>
      <c r="J136" s="8">
        <f>SUM('Fiat 500 WM63 XCE Grey'!B3:B45)</f>
        <v>1239.2800000000002</v>
      </c>
      <c r="K136" s="8">
        <f t="shared" ref="K136:K145" si="9">SUM(I136:J136)</f>
        <v>2639.28</v>
      </c>
      <c r="L136" s="187"/>
      <c r="M136" s="8"/>
      <c r="N136" s="16"/>
    </row>
    <row r="137" spans="2:14" ht="26.25" customHeight="1">
      <c r="B137" s="133">
        <v>45992</v>
      </c>
      <c r="C137" s="355">
        <v>45975</v>
      </c>
      <c r="D137" s="12" t="s">
        <v>195</v>
      </c>
      <c r="E137" s="5" t="s">
        <v>122</v>
      </c>
      <c r="F137" s="5" t="s">
        <v>110</v>
      </c>
      <c r="G137" s="5" t="s">
        <v>279</v>
      </c>
      <c r="H137" s="186"/>
      <c r="I137" s="186">
        <v>3500</v>
      </c>
      <c r="J137" s="8">
        <f>SUM('Fiat 500 YB65 XPP'!B3:B62)</f>
        <v>779.18</v>
      </c>
      <c r="K137" s="8">
        <f t="shared" si="9"/>
        <v>4279.18</v>
      </c>
      <c r="L137" s="187"/>
      <c r="M137" s="1"/>
      <c r="N137" s="16"/>
    </row>
    <row r="138" spans="2:14" ht="26.25" customHeight="1">
      <c r="B138" s="133">
        <v>45992</v>
      </c>
      <c r="C138" s="355">
        <v>45993</v>
      </c>
      <c r="D138" s="12" t="s">
        <v>198</v>
      </c>
      <c r="E138" s="5" t="s">
        <v>199</v>
      </c>
      <c r="F138" s="5" t="s">
        <v>110</v>
      </c>
      <c r="G138" s="5" t="s">
        <v>297</v>
      </c>
      <c r="H138" s="186"/>
      <c r="I138" s="186">
        <v>4050</v>
      </c>
      <c r="J138" s="8">
        <v>346.8</v>
      </c>
      <c r="K138" s="8">
        <f t="shared" si="9"/>
        <v>4396.8</v>
      </c>
      <c r="L138" s="187"/>
      <c r="M138" s="1"/>
      <c r="N138" s="16"/>
    </row>
    <row r="139" spans="2:14" ht="26.25" customHeight="1">
      <c r="B139" s="147">
        <v>45992</v>
      </c>
      <c r="C139" s="356">
        <v>45996</v>
      </c>
      <c r="D139" s="113" t="s">
        <v>302</v>
      </c>
      <c r="E139" s="114" t="s">
        <v>49</v>
      </c>
      <c r="F139" s="114" t="s">
        <v>125</v>
      </c>
      <c r="G139" s="114" t="s">
        <v>279</v>
      </c>
      <c r="H139" s="180"/>
      <c r="I139" s="180">
        <v>5750</v>
      </c>
      <c r="J139" s="73">
        <f>SUM('BMW SX14 KKH'!B3:B154)</f>
        <v>897.90000000000009</v>
      </c>
      <c r="K139" s="73">
        <f t="shared" si="9"/>
        <v>6647.9</v>
      </c>
      <c r="L139" s="180">
        <v>9050</v>
      </c>
      <c r="M139" s="73">
        <f>Table12[[#This Row],[Sold]]-Table12[[#This Row],[Total Cost]]</f>
        <v>2402.1000000000004</v>
      </c>
      <c r="N139" s="137" t="s">
        <v>29</v>
      </c>
    </row>
    <row r="140" spans="2:14" ht="25" customHeight="1">
      <c r="B140" s="151">
        <v>45992</v>
      </c>
      <c r="C140" s="355">
        <v>45999</v>
      </c>
      <c r="D140" s="12" t="s">
        <v>167</v>
      </c>
      <c r="E140" s="5" t="s">
        <v>168</v>
      </c>
      <c r="F140" s="5" t="s">
        <v>129</v>
      </c>
      <c r="G140" s="5" t="s">
        <v>297</v>
      </c>
      <c r="H140" s="186"/>
      <c r="I140" s="186">
        <v>5000</v>
      </c>
      <c r="J140" s="8">
        <f>SUM('BMW GT SV63 KKO'!B3:B52)</f>
        <v>1270.6799999999998</v>
      </c>
      <c r="K140" s="8">
        <f t="shared" si="9"/>
        <v>6270.68</v>
      </c>
      <c r="L140" s="186"/>
      <c r="M140" s="5"/>
      <c r="N140" s="37"/>
    </row>
    <row r="141" spans="2:14" ht="25" customHeight="1">
      <c r="B141" s="147">
        <v>45992</v>
      </c>
      <c r="C141" s="356">
        <v>46000</v>
      </c>
      <c r="D141" s="113" t="s">
        <v>303</v>
      </c>
      <c r="E141" s="114" t="s">
        <v>156</v>
      </c>
      <c r="F141" s="114" t="s">
        <v>129</v>
      </c>
      <c r="G141" s="114" t="s">
        <v>297</v>
      </c>
      <c r="H141" s="180"/>
      <c r="I141" s="180">
        <v>4000</v>
      </c>
      <c r="J141" s="73">
        <f>SUM('Polo GT CV65'!B3:B23)</f>
        <v>528.80000000000007</v>
      </c>
      <c r="K141" s="73">
        <f t="shared" si="9"/>
        <v>4528.8</v>
      </c>
      <c r="L141" s="180">
        <v>6595</v>
      </c>
      <c r="M141" s="73">
        <f>Table12[[#This Row],[Sold]]-Table12[[#This Row],[Total Cost]]</f>
        <v>2066.1999999999998</v>
      </c>
      <c r="N141" s="137" t="s">
        <v>29</v>
      </c>
    </row>
    <row r="142" spans="2:14" ht="25" customHeight="1">
      <c r="B142" s="151">
        <v>45992</v>
      </c>
      <c r="C142" s="355">
        <v>46000</v>
      </c>
      <c r="D142" s="12" t="s">
        <v>187</v>
      </c>
      <c r="E142" s="5" t="s">
        <v>119</v>
      </c>
      <c r="F142" s="5" t="s">
        <v>106</v>
      </c>
      <c r="G142" s="5" t="s">
        <v>279</v>
      </c>
      <c r="H142" s="186"/>
      <c r="I142" s="186">
        <v>1200</v>
      </c>
      <c r="J142" s="8">
        <f>SUM('Nissan Note RV62 UMD'!B3:B20)</f>
        <v>1650.71</v>
      </c>
      <c r="K142" s="8">
        <f t="shared" si="9"/>
        <v>2850.71</v>
      </c>
      <c r="L142" s="186"/>
      <c r="M142" s="5"/>
      <c r="N142" s="37"/>
    </row>
    <row r="143" spans="2:14" ht="25" customHeight="1">
      <c r="B143" s="151">
        <v>45992</v>
      </c>
      <c r="C143" s="361">
        <v>46003</v>
      </c>
      <c r="D143" s="142" t="s">
        <v>304</v>
      </c>
      <c r="E143" s="143" t="s">
        <v>305</v>
      </c>
      <c r="F143" s="143" t="s">
        <v>125</v>
      </c>
      <c r="G143" s="143" t="s">
        <v>297</v>
      </c>
      <c r="H143" s="186"/>
      <c r="I143" s="194">
        <v>5000</v>
      </c>
      <c r="J143" s="144">
        <f>SUM('Audi A7 OV61 WKH'!B3:B77)</f>
        <v>2573.46</v>
      </c>
      <c r="K143" s="8">
        <f t="shared" si="9"/>
        <v>7573.46</v>
      </c>
      <c r="L143" s="186"/>
      <c r="M143" s="5"/>
      <c r="N143" s="37"/>
    </row>
    <row r="144" spans="2:14" ht="25" customHeight="1">
      <c r="B144" s="147">
        <v>45992</v>
      </c>
      <c r="C144" s="362">
        <v>46003</v>
      </c>
      <c r="D144" s="156" t="s">
        <v>149</v>
      </c>
      <c r="E144" s="157" t="s">
        <v>150</v>
      </c>
      <c r="F144" s="157" t="s">
        <v>107</v>
      </c>
      <c r="G144" s="157" t="s">
        <v>297</v>
      </c>
      <c r="H144" s="180"/>
      <c r="I144" s="314">
        <v>3535</v>
      </c>
      <c r="J144" s="158">
        <f>SUM('Fiat 500 LM64 FWU'!B3:B33)</f>
        <v>195.74</v>
      </c>
      <c r="K144" s="73">
        <f t="shared" si="9"/>
        <v>3730.74</v>
      </c>
      <c r="L144" s="180">
        <v>5400</v>
      </c>
      <c r="M144" s="73">
        <f>L144-SUM(I144:J144)</f>
        <v>1669.2600000000002</v>
      </c>
      <c r="N144" s="137" t="s">
        <v>29</v>
      </c>
    </row>
    <row r="145" spans="2:14" ht="25" customHeight="1">
      <c r="B145" s="151">
        <v>45992</v>
      </c>
      <c r="C145" s="355">
        <v>46006</v>
      </c>
      <c r="D145" s="12" t="s">
        <v>203</v>
      </c>
      <c r="E145" s="5" t="s">
        <v>148</v>
      </c>
      <c r="F145" s="5" t="s">
        <v>129</v>
      </c>
      <c r="G145" s="5" t="s">
        <v>279</v>
      </c>
      <c r="H145" s="186"/>
      <c r="I145" s="186">
        <v>5500</v>
      </c>
      <c r="J145" s="8">
        <f>SUM('Audi A3 LG61 RTV'!B3:B23)</f>
        <v>993.7</v>
      </c>
      <c r="K145" s="8">
        <f t="shared" si="9"/>
        <v>6493.7</v>
      </c>
      <c r="L145" s="186"/>
      <c r="M145" s="5"/>
      <c r="N145" s="37"/>
    </row>
    <row r="146" spans="2:14" ht="25" customHeight="1">
      <c r="B146" s="151">
        <v>45992</v>
      </c>
      <c r="C146" s="355">
        <v>46007</v>
      </c>
      <c r="D146" s="12" t="s">
        <v>235</v>
      </c>
      <c r="E146" s="5" t="s">
        <v>122</v>
      </c>
      <c r="F146" s="5" t="s">
        <v>107</v>
      </c>
      <c r="G146" s="5" t="s">
        <v>279</v>
      </c>
      <c r="H146" s="186"/>
      <c r="I146" s="186">
        <v>900</v>
      </c>
      <c r="J146" s="8">
        <f>'Fiat 500 LK15'!E1-'Fiat 500 LK15'!B2</f>
        <v>3114.6099999999997</v>
      </c>
      <c r="K146" s="8">
        <f>Table12[[#This Row],[Reconditioning costs]]+Table12[[#This Row],[Price]]</f>
        <v>4014.6099999999997</v>
      </c>
      <c r="L146" s="186"/>
      <c r="M146" s="5"/>
      <c r="N146" s="37"/>
    </row>
    <row r="147" spans="2:14" ht="25" customHeight="1">
      <c r="B147" s="151">
        <v>45992</v>
      </c>
      <c r="C147" s="355">
        <v>46022</v>
      </c>
      <c r="D147" s="12" t="s">
        <v>225</v>
      </c>
      <c r="E147" s="5" t="s">
        <v>226</v>
      </c>
      <c r="F147" s="5" t="s">
        <v>129</v>
      </c>
      <c r="G147" s="5" t="s">
        <v>279</v>
      </c>
      <c r="H147" s="186"/>
      <c r="I147" s="186">
        <v>5200</v>
      </c>
      <c r="J147" s="8">
        <f>SUM('Mitsubishi DN16 YXF'!B3:B30)</f>
        <v>1297.8799999999999</v>
      </c>
      <c r="K147" s="8">
        <f>Table12[[#This Row],[Reconditioning costs]]+Table12[[#This Row],[Price]]</f>
        <v>6497.88</v>
      </c>
      <c r="L147" s="186"/>
      <c r="M147" s="5"/>
      <c r="N147" s="37"/>
    </row>
    <row r="148" spans="2:14" ht="25" customHeight="1">
      <c r="B148" s="230">
        <v>45992</v>
      </c>
      <c r="C148" s="359"/>
      <c r="D148" s="60"/>
      <c r="E148" s="31"/>
      <c r="F148" s="31"/>
      <c r="G148" s="31"/>
      <c r="H148" s="193"/>
      <c r="I148" s="193"/>
      <c r="J148" s="33"/>
      <c r="K148" s="31"/>
      <c r="L148" s="193"/>
      <c r="M148" s="31"/>
      <c r="N148" s="134"/>
    </row>
    <row r="149" spans="2:14" ht="25" customHeight="1">
      <c r="B149" s="210">
        <v>46023</v>
      </c>
      <c r="C149" s="356">
        <v>45983</v>
      </c>
      <c r="D149" s="114" t="s">
        <v>181</v>
      </c>
      <c r="E149" s="114" t="s">
        <v>182</v>
      </c>
      <c r="F149" s="114" t="s">
        <v>125</v>
      </c>
      <c r="G149" s="114" t="s">
        <v>279</v>
      </c>
      <c r="H149" s="180"/>
      <c r="I149" s="180">
        <v>4000</v>
      </c>
      <c r="J149" s="180">
        <f>SUM('Polo BlueGT CE65 MJJ'!B3:B85)</f>
        <v>783.32000000000016</v>
      </c>
      <c r="K149" s="73">
        <f>SUM(H149:J149)</f>
        <v>4783.32</v>
      </c>
      <c r="L149" s="180">
        <v>6995</v>
      </c>
      <c r="M149" s="73">
        <f>L149-SUM(I149:J149)</f>
        <v>2211.6800000000003</v>
      </c>
      <c r="N149" s="66" t="s">
        <v>29</v>
      </c>
    </row>
    <row r="150" spans="2:14" ht="25" customHeight="1">
      <c r="B150" s="210">
        <v>46023</v>
      </c>
      <c r="C150" s="356">
        <v>45965</v>
      </c>
      <c r="D150" s="113" t="s">
        <v>177</v>
      </c>
      <c r="E150" s="114" t="s">
        <v>178</v>
      </c>
      <c r="F150" s="114" t="s">
        <v>107</v>
      </c>
      <c r="G150" s="114" t="s">
        <v>279</v>
      </c>
      <c r="H150" s="180">
        <v>1500</v>
      </c>
      <c r="I150" s="180">
        <f>4250</f>
        <v>4250</v>
      </c>
      <c r="J150" s="180">
        <f>SUM('Nissan Qashqai KM17 YTV'!B3:B79)</f>
        <v>4111.51</v>
      </c>
      <c r="K150" s="73">
        <f>SUM(I150:J150)</f>
        <v>8361.51</v>
      </c>
      <c r="L150" s="180">
        <v>8295</v>
      </c>
      <c r="M150" s="73">
        <f>L150-SUM(I150:J150)</f>
        <v>-66.510000000000218</v>
      </c>
      <c r="N150" s="66" t="s">
        <v>29</v>
      </c>
    </row>
    <row r="151" spans="2:14" ht="25" customHeight="1">
      <c r="B151" s="209">
        <v>46023</v>
      </c>
      <c r="C151" s="355">
        <v>45989</v>
      </c>
      <c r="D151" s="12" t="s">
        <v>185</v>
      </c>
      <c r="E151" s="5" t="s">
        <v>186</v>
      </c>
      <c r="F151" s="5" t="s">
        <v>113</v>
      </c>
      <c r="G151" s="5" t="s">
        <v>279</v>
      </c>
      <c r="H151" s="186"/>
      <c r="I151" s="186">
        <v>4650</v>
      </c>
      <c r="J151" s="186">
        <f>SUM('Honda CRV KU13 FBF'!B3:B85)</f>
        <v>1082.32</v>
      </c>
      <c r="K151" s="8">
        <f>SUM(H151:J151)</f>
        <v>5732.32</v>
      </c>
      <c r="L151" s="186"/>
      <c r="M151" s="5"/>
      <c r="N151" s="37"/>
    </row>
    <row r="152" spans="2:14" ht="25" customHeight="1">
      <c r="B152" s="210">
        <v>46023</v>
      </c>
      <c r="C152" s="356">
        <v>45975</v>
      </c>
      <c r="D152" s="113" t="s">
        <v>176</v>
      </c>
      <c r="E152" s="114" t="s">
        <v>131</v>
      </c>
      <c r="F152" s="114" t="s">
        <v>129</v>
      </c>
      <c r="G152" s="114" t="s">
        <v>279</v>
      </c>
      <c r="H152" s="180"/>
      <c r="I152" s="180">
        <v>3500</v>
      </c>
      <c r="J152" s="180">
        <f>SUM('Audi A1 MF12'!B3:B79)</f>
        <v>890.79</v>
      </c>
      <c r="K152" s="73">
        <f>SUM(I152:J152)</f>
        <v>4390.79</v>
      </c>
      <c r="L152" s="180">
        <v>7250</v>
      </c>
      <c r="M152" s="73">
        <f>L152-SUM(I152:J152)</f>
        <v>2859.21</v>
      </c>
      <c r="N152" s="66" t="s">
        <v>29</v>
      </c>
    </row>
    <row r="153" spans="2:14" ht="25" customHeight="1">
      <c r="B153" s="209">
        <v>46023</v>
      </c>
      <c r="C153" s="355">
        <v>45989</v>
      </c>
      <c r="D153" s="62" t="s">
        <v>238</v>
      </c>
      <c r="E153" s="105" t="s">
        <v>239</v>
      </c>
      <c r="F153" s="105" t="s">
        <v>107</v>
      </c>
      <c r="G153" s="5" t="s">
        <v>279</v>
      </c>
      <c r="H153" s="186"/>
      <c r="I153" s="186">
        <v>3200</v>
      </c>
      <c r="J153" s="186">
        <f>SUM('Polo MF14 TUH'!B3:B79)</f>
        <v>1701.89</v>
      </c>
      <c r="K153" s="8">
        <f>SUM(H153:J153)</f>
        <v>4901.8900000000003</v>
      </c>
      <c r="L153" s="186"/>
      <c r="M153" s="5"/>
      <c r="N153" s="37"/>
    </row>
    <row r="154" spans="2:14" ht="25" customHeight="1">
      <c r="B154" s="209">
        <v>46023</v>
      </c>
      <c r="C154" s="355">
        <v>45985</v>
      </c>
      <c r="D154" s="12" t="s">
        <v>196</v>
      </c>
      <c r="E154" s="5" t="s">
        <v>197</v>
      </c>
      <c r="F154" s="5" t="s">
        <v>110</v>
      </c>
      <c r="G154" s="5" t="s">
        <v>297</v>
      </c>
      <c r="H154" s="186"/>
      <c r="I154" s="186">
        <v>2625</v>
      </c>
      <c r="J154" s="186">
        <f>SUM('Jaguar XF OY61 UTH'!B4:B74)</f>
        <v>543.13666666666677</v>
      </c>
      <c r="K154" s="8">
        <f>SUM(H154:J154)</f>
        <v>3168.1366666666668</v>
      </c>
      <c r="L154" s="186"/>
      <c r="M154" s="5"/>
      <c r="N154" s="37"/>
    </row>
    <row r="155" spans="2:14" ht="25" customHeight="1">
      <c r="B155" s="210">
        <v>46023</v>
      </c>
      <c r="C155" s="356">
        <v>45977</v>
      </c>
      <c r="D155" s="113" t="s">
        <v>169</v>
      </c>
      <c r="E155" s="114" t="s">
        <v>170</v>
      </c>
      <c r="F155" s="114" t="s">
        <v>113</v>
      </c>
      <c r="G155" s="114" t="s">
        <v>279</v>
      </c>
      <c r="H155" s="180"/>
      <c r="I155" s="180">
        <f>4350</f>
        <v>4350</v>
      </c>
      <c r="J155" s="180">
        <f>SUM('Audi S5 SP08 KLX '!B3:B71)</f>
        <v>1144.4599999999998</v>
      </c>
      <c r="K155" s="73">
        <f>SUM(H155:J155)</f>
        <v>5494.46</v>
      </c>
      <c r="L155" s="180">
        <v>8995</v>
      </c>
      <c r="M155" s="73">
        <f>L155-SUM(I155:J155)</f>
        <v>3500.54</v>
      </c>
      <c r="N155" s="66" t="s">
        <v>29</v>
      </c>
    </row>
    <row r="156" spans="2:14" ht="25" customHeight="1">
      <c r="B156" s="210">
        <v>46023</v>
      </c>
      <c r="C156" s="356">
        <v>45980</v>
      </c>
      <c r="D156" s="113" t="s">
        <v>165</v>
      </c>
      <c r="E156" s="114" t="s">
        <v>166</v>
      </c>
      <c r="F156" s="114" t="s">
        <v>125</v>
      </c>
      <c r="G156" s="114" t="s">
        <v>279</v>
      </c>
      <c r="H156" s="180"/>
      <c r="I156" s="180">
        <f>4000</f>
        <v>4000</v>
      </c>
      <c r="J156" s="180">
        <f>SUM('Kuga VX15 DYU'!B3:B75)</f>
        <v>1602.5433333333331</v>
      </c>
      <c r="K156" s="73">
        <f>SUM(H156:J156)</f>
        <v>5602.5433333333331</v>
      </c>
      <c r="L156" s="180">
        <v>7793.28</v>
      </c>
      <c r="M156" s="73">
        <f>L156-SUM(I156:J156)</f>
        <v>2190.7366666666667</v>
      </c>
      <c r="N156" s="66" t="s">
        <v>29</v>
      </c>
    </row>
    <row r="157" spans="2:14" ht="25" customHeight="1">
      <c r="B157" s="210">
        <v>46023</v>
      </c>
      <c r="C157" s="356">
        <v>45960</v>
      </c>
      <c r="D157" s="113" t="s">
        <v>171</v>
      </c>
      <c r="E157" s="114" t="s">
        <v>122</v>
      </c>
      <c r="F157" s="114" t="s">
        <v>107</v>
      </c>
      <c r="G157" s="114" t="s">
        <v>279</v>
      </c>
      <c r="H157" s="180"/>
      <c r="I157" s="180">
        <v>1400</v>
      </c>
      <c r="J157" s="180">
        <f>SUM('Fiat 500 WM63 XCE Grey'!B3:B66)</f>
        <v>1239.2800000000002</v>
      </c>
      <c r="K157" s="73">
        <f t="shared" ref="K157:K163" si="10">SUM(I157:J157)</f>
        <v>2639.28</v>
      </c>
      <c r="L157" s="180">
        <v>3595</v>
      </c>
      <c r="M157" s="73">
        <f>L157-SUM(I157:J157)</f>
        <v>955.7199999999998</v>
      </c>
      <c r="N157" s="66" t="s">
        <v>29</v>
      </c>
    </row>
    <row r="158" spans="2:14" ht="25" customHeight="1">
      <c r="B158" s="209">
        <v>46023</v>
      </c>
      <c r="C158" s="355">
        <v>45975</v>
      </c>
      <c r="D158" s="12" t="s">
        <v>195</v>
      </c>
      <c r="E158" s="5" t="s">
        <v>122</v>
      </c>
      <c r="F158" s="5" t="s">
        <v>110</v>
      </c>
      <c r="G158" s="5" t="s">
        <v>279</v>
      </c>
      <c r="H158" s="186"/>
      <c r="I158" s="186">
        <v>3500</v>
      </c>
      <c r="J158" s="186">
        <f>SUM('Fiat 500 YB65 XPP'!B3:B83)</f>
        <v>779.18</v>
      </c>
      <c r="K158" s="8">
        <f t="shared" si="10"/>
        <v>4279.18</v>
      </c>
      <c r="L158" s="186"/>
      <c r="M158" s="5"/>
      <c r="N158" s="37"/>
    </row>
    <row r="159" spans="2:14" ht="25" customHeight="1">
      <c r="B159" s="209">
        <v>46023</v>
      </c>
      <c r="C159" s="355">
        <v>45993</v>
      </c>
      <c r="D159" s="12" t="s">
        <v>198</v>
      </c>
      <c r="E159" s="5" t="s">
        <v>199</v>
      </c>
      <c r="F159" s="5" t="s">
        <v>110</v>
      </c>
      <c r="G159" s="5" t="s">
        <v>297</v>
      </c>
      <c r="H159" s="186"/>
      <c r="I159" s="186">
        <v>4050</v>
      </c>
      <c r="J159" s="186">
        <f>SUM('Polo CY64 ACO'!B3:B20)</f>
        <v>592.52</v>
      </c>
      <c r="K159" s="8">
        <f t="shared" si="10"/>
        <v>4642.5200000000004</v>
      </c>
      <c r="L159" s="186"/>
      <c r="M159" s="5"/>
      <c r="N159" s="37"/>
    </row>
    <row r="160" spans="2:14" ht="25" customHeight="1">
      <c r="B160" s="210">
        <v>46023</v>
      </c>
      <c r="C160" s="356">
        <v>45999</v>
      </c>
      <c r="D160" s="113" t="s">
        <v>167</v>
      </c>
      <c r="E160" s="114" t="s">
        <v>168</v>
      </c>
      <c r="F160" s="114" t="s">
        <v>129</v>
      </c>
      <c r="G160" s="114" t="s">
        <v>297</v>
      </c>
      <c r="H160" s="180"/>
      <c r="I160" s="180">
        <v>5000</v>
      </c>
      <c r="J160" s="180">
        <f>SUM('BMW GT SV63 KKO'!B3:B72)</f>
        <v>1270.6799999999998</v>
      </c>
      <c r="K160" s="73">
        <f t="shared" si="10"/>
        <v>6270.68</v>
      </c>
      <c r="L160" s="180">
        <v>8400</v>
      </c>
      <c r="M160" s="73">
        <f>L160-SUM(I160:J160)</f>
        <v>2129.3199999999997</v>
      </c>
      <c r="N160" s="66" t="s">
        <v>29</v>
      </c>
    </row>
    <row r="161" spans="2:14" ht="25" customHeight="1">
      <c r="B161" s="209">
        <v>46023</v>
      </c>
      <c r="C161" s="355">
        <v>46000</v>
      </c>
      <c r="D161" s="12" t="s">
        <v>187</v>
      </c>
      <c r="E161" s="5" t="s">
        <v>119</v>
      </c>
      <c r="F161" s="5" t="s">
        <v>106</v>
      </c>
      <c r="G161" s="5" t="s">
        <v>279</v>
      </c>
      <c r="H161" s="186"/>
      <c r="I161" s="186">
        <v>1200</v>
      </c>
      <c r="J161" s="186">
        <f>SUM('Nissan Note RV62 UMD'!B3:B39)</f>
        <v>1650.71</v>
      </c>
      <c r="K161" s="8">
        <f t="shared" si="10"/>
        <v>2850.71</v>
      </c>
      <c r="L161" s="186"/>
      <c r="M161" s="5"/>
      <c r="N161" s="37"/>
    </row>
    <row r="162" spans="2:14" ht="25" customHeight="1">
      <c r="B162" s="209">
        <v>46023</v>
      </c>
      <c r="C162" s="355">
        <v>46003</v>
      </c>
      <c r="D162" s="12" t="s">
        <v>304</v>
      </c>
      <c r="E162" s="5" t="s">
        <v>305</v>
      </c>
      <c r="F162" s="5" t="s">
        <v>125</v>
      </c>
      <c r="G162" s="5" t="s">
        <v>297</v>
      </c>
      <c r="H162" s="186"/>
      <c r="I162" s="186">
        <v>5000</v>
      </c>
      <c r="J162" s="186">
        <f>SUM('Audi A7 OV61 WKH'!B3:B96)</f>
        <v>2573.46</v>
      </c>
      <c r="K162" s="8">
        <f t="shared" si="10"/>
        <v>7573.46</v>
      </c>
      <c r="L162" s="186"/>
      <c r="M162" s="5"/>
      <c r="N162" s="37"/>
    </row>
    <row r="163" spans="2:14" ht="25" customHeight="1">
      <c r="B163" s="209">
        <v>46023</v>
      </c>
      <c r="C163" s="355">
        <v>46006</v>
      </c>
      <c r="D163" s="12" t="s">
        <v>203</v>
      </c>
      <c r="E163" s="5" t="s">
        <v>148</v>
      </c>
      <c r="F163" s="5" t="s">
        <v>129</v>
      </c>
      <c r="G163" s="5" t="s">
        <v>279</v>
      </c>
      <c r="H163" s="186"/>
      <c r="I163" s="186">
        <v>5500</v>
      </c>
      <c r="J163" s="186">
        <f>SUM('Audi A3 LG61 RTV'!B3:B41)</f>
        <v>993.7</v>
      </c>
      <c r="K163" s="8">
        <f t="shared" si="10"/>
        <v>6493.7</v>
      </c>
      <c r="L163" s="186"/>
      <c r="M163" s="5"/>
      <c r="N163" s="37"/>
    </row>
    <row r="164" spans="2:14" ht="26" customHeight="1">
      <c r="B164" s="209">
        <v>46023</v>
      </c>
      <c r="C164" s="361">
        <v>46007</v>
      </c>
      <c r="D164" s="142" t="s">
        <v>235</v>
      </c>
      <c r="E164" s="143" t="s">
        <v>122</v>
      </c>
      <c r="F164" s="143" t="s">
        <v>107</v>
      </c>
      <c r="G164" s="143" t="s">
        <v>279</v>
      </c>
      <c r="H164" s="194"/>
      <c r="I164" s="194">
        <v>900</v>
      </c>
      <c r="J164" s="194">
        <f>SUM('Fiat 500 LK15'!B3:B14)</f>
        <v>3114.6099999999997</v>
      </c>
      <c r="K164" s="8">
        <f>Table12[[#This Row],[Reconditioning costs]]+Table12[[#This Row],[Price]]</f>
        <v>4014.6099999999997</v>
      </c>
      <c r="L164" s="194"/>
      <c r="M164" s="140"/>
      <c r="N164" s="154"/>
    </row>
    <row r="165" spans="2:14" ht="26" customHeight="1">
      <c r="B165" s="209">
        <v>46023</v>
      </c>
      <c r="C165" s="361">
        <v>46022</v>
      </c>
      <c r="D165" s="142" t="s">
        <v>225</v>
      </c>
      <c r="E165" s="143" t="s">
        <v>226</v>
      </c>
      <c r="F165" s="143" t="s">
        <v>129</v>
      </c>
      <c r="G165" s="143" t="s">
        <v>279</v>
      </c>
      <c r="H165" s="194"/>
      <c r="I165" s="257">
        <v>5200</v>
      </c>
      <c r="J165" s="194">
        <f>SUM('Mitsubishi DN16 YXF'!B3:B48)</f>
        <v>1297.8799999999999</v>
      </c>
      <c r="K165" s="8">
        <f>Table12[[#This Row],[Reconditioning costs]]+Table12[[#This Row],[Price]]</f>
        <v>6497.88</v>
      </c>
      <c r="L165" s="186"/>
      <c r="M165" s="5"/>
      <c r="N165" s="154"/>
    </row>
    <row r="166" spans="2:14" ht="26" customHeight="1">
      <c r="B166" s="210">
        <v>46023</v>
      </c>
      <c r="C166" s="362">
        <v>46029</v>
      </c>
      <c r="D166" s="156" t="s">
        <v>172</v>
      </c>
      <c r="E166" s="156" t="s">
        <v>173</v>
      </c>
      <c r="F166" s="157" t="s">
        <v>107</v>
      </c>
      <c r="G166" s="157" t="s">
        <v>279</v>
      </c>
      <c r="H166" s="222"/>
      <c r="I166" s="222">
        <v>5650</v>
      </c>
      <c r="J166" s="222">
        <f>SUM('BMW 520D EJ14'!B3:B26)</f>
        <v>891.12</v>
      </c>
      <c r="K166" s="73">
        <f>Table12[[#This Row],[Reconditioning costs]]+Table12[[#This Row],[Price]]</f>
        <v>6541.12</v>
      </c>
      <c r="L166" s="180">
        <v>8495</v>
      </c>
      <c r="M166" s="73">
        <f>L166-SUM(I166:J166)</f>
        <v>1953.88</v>
      </c>
      <c r="N166" s="66" t="s">
        <v>29</v>
      </c>
    </row>
    <row r="167" spans="2:14" ht="26" customHeight="1">
      <c r="B167" s="209">
        <v>46023</v>
      </c>
      <c r="C167" s="361">
        <v>46031</v>
      </c>
      <c r="D167" s="204" t="s">
        <v>183</v>
      </c>
      <c r="E167" s="142" t="s">
        <v>184</v>
      </c>
      <c r="F167" s="143" t="s">
        <v>107</v>
      </c>
      <c r="G167" s="143" t="s">
        <v>279</v>
      </c>
      <c r="H167" s="208"/>
      <c r="I167" s="194">
        <v>7023</v>
      </c>
      <c r="J167" s="194">
        <f>SUM('Octavia VRS GY14 BZC'!B3:B29)</f>
        <v>1223.1500000000001</v>
      </c>
      <c r="K167" s="8">
        <f>Table12[[#This Row],[Reconditioning costs]]+Table12[[#This Row],[Price]]</f>
        <v>8246.15</v>
      </c>
      <c r="L167" s="186"/>
      <c r="M167" s="5"/>
      <c r="N167" s="154"/>
    </row>
    <row r="168" spans="2:14" ht="26" customHeight="1">
      <c r="B168" s="209">
        <v>46023</v>
      </c>
      <c r="C168" s="361">
        <v>46032</v>
      </c>
      <c r="D168" s="142" t="s">
        <v>306</v>
      </c>
      <c r="E168" s="142" t="s">
        <v>307</v>
      </c>
      <c r="F168" s="143" t="s">
        <v>107</v>
      </c>
      <c r="G168" s="143" t="s">
        <v>279</v>
      </c>
      <c r="H168" s="208"/>
      <c r="I168" s="194">
        <v>4950</v>
      </c>
      <c r="J168" s="194">
        <f>SUM('Suzuki Swift YB68 XYT'!B3:B34)</f>
        <v>424.73</v>
      </c>
      <c r="K168" s="8">
        <f>Table12[[#This Row],[Reconditioning costs]]+Table12[[#This Row],[Price]]</f>
        <v>5374.73</v>
      </c>
      <c r="L168" s="186"/>
      <c r="M168" s="5"/>
      <c r="N168" s="154"/>
    </row>
    <row r="169" spans="2:14" ht="26" customHeight="1">
      <c r="B169" s="209">
        <v>46023</v>
      </c>
      <c r="C169" s="363">
        <v>46033</v>
      </c>
      <c r="D169" s="142" t="s">
        <v>308</v>
      </c>
      <c r="E169" s="204" t="s">
        <v>309</v>
      </c>
      <c r="F169" s="205" t="s">
        <v>125</v>
      </c>
      <c r="G169" s="143" t="s">
        <v>279</v>
      </c>
      <c r="H169" s="241"/>
      <c r="I169" s="211">
        <v>5665.88</v>
      </c>
      <c r="J169" s="211">
        <f>SUM('BMW 120D PE65 LXZ'!B3:B21)</f>
        <v>862.84999999999991</v>
      </c>
      <c r="K169" s="8">
        <f>Table12[[#This Row],[Reconditioning costs]]+Table12[[#This Row],[Price]]</f>
        <v>6528.73</v>
      </c>
      <c r="L169" s="186"/>
      <c r="M169" s="5"/>
      <c r="N169" s="154"/>
    </row>
    <row r="170" spans="2:14" ht="26" customHeight="1">
      <c r="B170" s="210">
        <v>46023</v>
      </c>
      <c r="C170" s="356">
        <v>46037</v>
      </c>
      <c r="D170" s="113" t="s">
        <v>174</v>
      </c>
      <c r="E170" s="114" t="s">
        <v>175</v>
      </c>
      <c r="F170" s="114" t="s">
        <v>107</v>
      </c>
      <c r="G170" s="157" t="s">
        <v>279</v>
      </c>
      <c r="H170" s="180"/>
      <c r="I170" s="180">
        <v>4600</v>
      </c>
      <c r="J170" s="180">
        <f>SUM('Smart Premium SR16 HKT'!B3:B157)</f>
        <v>653.0200000000001</v>
      </c>
      <c r="K170" s="73">
        <f>Table12[[#This Row],[Reconditioning costs]]+Table12[[#This Row],[Price]]</f>
        <v>5253.02</v>
      </c>
      <c r="L170" s="180">
        <v>8995</v>
      </c>
      <c r="M170" s="73">
        <f>L170-SUM(I170:J170)</f>
        <v>3741.9799999999996</v>
      </c>
      <c r="N170" s="66" t="s">
        <v>29</v>
      </c>
    </row>
    <row r="171" spans="2:14" ht="26" customHeight="1">
      <c r="B171" s="209">
        <v>46023</v>
      </c>
      <c r="C171" s="355">
        <v>46050</v>
      </c>
      <c r="D171" s="12" t="s">
        <v>236</v>
      </c>
      <c r="E171" s="5" t="s">
        <v>237</v>
      </c>
      <c r="F171" s="5" t="s">
        <v>129</v>
      </c>
      <c r="G171" s="143" t="s">
        <v>279</v>
      </c>
      <c r="H171" s="186"/>
      <c r="I171" s="186">
        <v>5500</v>
      </c>
      <c r="J171" s="186">
        <f>SUM('Ford Mondeo DG68'!B3:B28)</f>
        <v>897.64</v>
      </c>
      <c r="K171" s="8">
        <f>Table12[[#This Row],[Reconditioning costs]]+Table12[[#This Row],[Price]]</f>
        <v>6397.64</v>
      </c>
      <c r="L171" s="186"/>
      <c r="M171" s="5"/>
      <c r="N171" s="16"/>
    </row>
    <row r="172" spans="2:14" ht="26" customHeight="1">
      <c r="B172" s="209">
        <v>46023</v>
      </c>
      <c r="C172" s="355">
        <v>46050</v>
      </c>
      <c r="D172" s="12" t="s">
        <v>205</v>
      </c>
      <c r="E172" s="12" t="s">
        <v>206</v>
      </c>
      <c r="F172" s="12" t="s">
        <v>107</v>
      </c>
      <c r="G172" s="143" t="s">
        <v>279</v>
      </c>
      <c r="H172" s="186"/>
      <c r="I172" s="186">
        <v>5300</v>
      </c>
      <c r="J172" s="8">
        <f>SUM('BMW 518D PG66'!B3:B37)</f>
        <v>1088.24</v>
      </c>
      <c r="K172" s="8">
        <f>Table12[[#This Row],[Reconditioning costs]]+Table12[[#This Row],[Price]]</f>
        <v>6388.24</v>
      </c>
      <c r="L172" s="5"/>
      <c r="M172" s="5"/>
      <c r="N172" s="16"/>
    </row>
    <row r="173" spans="2:14" ht="26" customHeight="1">
      <c r="B173" s="210">
        <v>46023</v>
      </c>
      <c r="C173" s="356">
        <v>46050</v>
      </c>
      <c r="D173" s="113" t="s">
        <v>179</v>
      </c>
      <c r="E173" s="114" t="s">
        <v>180</v>
      </c>
      <c r="F173" s="113" t="s">
        <v>107</v>
      </c>
      <c r="G173" s="157" t="s">
        <v>279</v>
      </c>
      <c r="H173" s="180"/>
      <c r="I173" s="180">
        <v>850</v>
      </c>
      <c r="J173" s="73">
        <f>SUM('Peugeot 2008 EU14'!B3:B24)</f>
        <v>478.74</v>
      </c>
      <c r="K173" s="73">
        <f>Table12[[#This Row],[Reconditioning costs]]+Table12[[#This Row],[Price]]</f>
        <v>1328.74</v>
      </c>
      <c r="L173" s="180">
        <v>2000</v>
      </c>
      <c r="M173" s="73">
        <f>L173-SUM(I173:J173)</f>
        <v>671.26</v>
      </c>
      <c r="N173" s="66" t="s">
        <v>29</v>
      </c>
    </row>
    <row r="174" spans="2:14" ht="26" customHeight="1">
      <c r="B174" s="209">
        <v>46023</v>
      </c>
      <c r="C174" s="355">
        <v>46051</v>
      </c>
      <c r="D174" s="12" t="s">
        <v>310</v>
      </c>
      <c r="E174" s="5" t="s">
        <v>311</v>
      </c>
      <c r="F174" s="5" t="s">
        <v>312</v>
      </c>
      <c r="G174" s="143" t="s">
        <v>279</v>
      </c>
      <c r="H174" s="186"/>
      <c r="I174" s="186">
        <v>3850</v>
      </c>
      <c r="J174" s="8">
        <f>SUM('BMW 328i YB61'!B3:B143)</f>
        <v>2836.6800000000003</v>
      </c>
      <c r="K174" s="8">
        <f>Table12[[#This Row],[Reconditioning costs]]+Table12[[#This Row],[Price]]</f>
        <v>6686.68</v>
      </c>
      <c r="L174" s="186"/>
      <c r="M174" s="5"/>
      <c r="N174" s="16"/>
    </row>
    <row r="175" spans="2:14" ht="26" customHeight="1">
      <c r="B175" s="231">
        <v>46023</v>
      </c>
      <c r="C175" s="364"/>
      <c r="D175" s="232"/>
      <c r="E175" s="232"/>
      <c r="F175" s="232"/>
      <c r="G175" s="232"/>
      <c r="H175" s="242"/>
      <c r="I175" s="242"/>
      <c r="J175" s="235"/>
      <c r="K175" s="235"/>
      <c r="L175" s="234"/>
      <c r="M175" s="233"/>
      <c r="N175" s="31"/>
    </row>
    <row r="176" spans="2:14" ht="26" customHeight="1">
      <c r="B176" s="210">
        <v>46054</v>
      </c>
      <c r="C176" s="356">
        <v>45989</v>
      </c>
      <c r="D176" s="113" t="s">
        <v>185</v>
      </c>
      <c r="E176" s="114" t="s">
        <v>186</v>
      </c>
      <c r="F176" s="114" t="s">
        <v>113</v>
      </c>
      <c r="G176" s="114" t="s">
        <v>279</v>
      </c>
      <c r="H176" s="190"/>
      <c r="I176" s="180">
        <v>4650</v>
      </c>
      <c r="J176" s="180">
        <f>SUM('Honda CRV KU13 FBF'!B3:B113)</f>
        <v>1082.32</v>
      </c>
      <c r="K176" s="73">
        <f>SUM(H176:J176)</f>
        <v>5732.32</v>
      </c>
      <c r="L176" s="180">
        <v>7995</v>
      </c>
      <c r="M176" s="73">
        <f>L176-SUM(I176:J176)</f>
        <v>2262.6800000000003</v>
      </c>
      <c r="N176" s="66" t="s">
        <v>29</v>
      </c>
    </row>
    <row r="177" spans="2:14" ht="26" customHeight="1">
      <c r="B177" s="236">
        <v>46054</v>
      </c>
      <c r="C177" s="355">
        <v>45989</v>
      </c>
      <c r="D177" s="62" t="s">
        <v>238</v>
      </c>
      <c r="E177" s="105" t="s">
        <v>239</v>
      </c>
      <c r="F177" s="105" t="s">
        <v>107</v>
      </c>
      <c r="G177" s="5" t="s">
        <v>279</v>
      </c>
      <c r="H177" s="186"/>
      <c r="I177" s="186">
        <v>3200</v>
      </c>
      <c r="J177" s="186">
        <f>SUM('Polo MF14 TUH'!B3:B105)</f>
        <v>1701.89</v>
      </c>
      <c r="K177" s="8">
        <f>SUM(H177:J177)</f>
        <v>4901.8900000000003</v>
      </c>
      <c r="L177" s="186"/>
      <c r="M177" s="8"/>
      <c r="N177" s="277"/>
    </row>
    <row r="178" spans="2:14" ht="26" customHeight="1">
      <c r="B178" s="210">
        <v>46054</v>
      </c>
      <c r="C178" s="356">
        <v>45985</v>
      </c>
      <c r="D178" s="113" t="s">
        <v>196</v>
      </c>
      <c r="E178" s="114" t="s">
        <v>197</v>
      </c>
      <c r="F178" s="114" t="s">
        <v>110</v>
      </c>
      <c r="G178" s="114" t="s">
        <v>297</v>
      </c>
      <c r="H178" s="180"/>
      <c r="I178" s="180">
        <v>2625</v>
      </c>
      <c r="J178" s="180">
        <f>SUM('Jaguar XF OY61 UTH'!B3:B100)</f>
        <v>901.93666666666672</v>
      </c>
      <c r="K178" s="73">
        <f>SUM(H178:J178)</f>
        <v>3526.9366666666665</v>
      </c>
      <c r="L178" s="180">
        <v>5000</v>
      </c>
      <c r="M178" s="73">
        <f>L178-SUM(I178:J178)</f>
        <v>1473.0633333333335</v>
      </c>
      <c r="N178" s="66" t="s">
        <v>29</v>
      </c>
    </row>
    <row r="179" spans="2:14" ht="24" customHeight="1">
      <c r="B179" s="210">
        <v>46054</v>
      </c>
      <c r="C179" s="356">
        <v>45975</v>
      </c>
      <c r="D179" s="113" t="s">
        <v>195</v>
      </c>
      <c r="E179" s="114" t="s">
        <v>122</v>
      </c>
      <c r="F179" s="114" t="s">
        <v>110</v>
      </c>
      <c r="G179" s="114" t="s">
        <v>279</v>
      </c>
      <c r="H179" s="180"/>
      <c r="I179" s="180">
        <v>3500</v>
      </c>
      <c r="J179" s="180">
        <f>SUM('Fiat 500 YB65 XPP'!B3:B106)</f>
        <v>779.18</v>
      </c>
      <c r="K179" s="73">
        <f>SUM(I179:J179)</f>
        <v>4279.18</v>
      </c>
      <c r="L179" s="180">
        <v>5400</v>
      </c>
      <c r="M179" s="73">
        <f>L179-SUM(I179:J179)</f>
        <v>1120.8199999999997</v>
      </c>
      <c r="N179" s="66" t="s">
        <v>29</v>
      </c>
    </row>
    <row r="180" spans="2:14" ht="24" customHeight="1">
      <c r="B180" s="210">
        <v>46054</v>
      </c>
      <c r="C180" s="356">
        <v>45993</v>
      </c>
      <c r="D180" s="113" t="s">
        <v>198</v>
      </c>
      <c r="E180" s="114" t="s">
        <v>199</v>
      </c>
      <c r="F180" s="114" t="s">
        <v>110</v>
      </c>
      <c r="G180" s="114" t="s">
        <v>297</v>
      </c>
      <c r="H180" s="180"/>
      <c r="I180" s="180">
        <v>4050</v>
      </c>
      <c r="J180" s="180">
        <f>SUM('Polo CY64 ACO'!B3:B43)</f>
        <v>592.52</v>
      </c>
      <c r="K180" s="73">
        <f>SUM(I180:J180)</f>
        <v>4642.5200000000004</v>
      </c>
      <c r="L180" s="180">
        <v>5795</v>
      </c>
      <c r="M180" s="73">
        <f>L180-SUM(I180:J180)</f>
        <v>1152.4799999999996</v>
      </c>
      <c r="N180" s="66" t="s">
        <v>29</v>
      </c>
    </row>
    <row r="181" spans="2:14" ht="24" customHeight="1">
      <c r="B181" s="210">
        <v>46054</v>
      </c>
      <c r="C181" s="356">
        <v>46000</v>
      </c>
      <c r="D181" s="113" t="s">
        <v>187</v>
      </c>
      <c r="E181" s="114" t="s">
        <v>119</v>
      </c>
      <c r="F181" s="114" t="s">
        <v>106</v>
      </c>
      <c r="G181" s="114" t="s">
        <v>279</v>
      </c>
      <c r="H181" s="180"/>
      <c r="I181" s="180">
        <v>1200</v>
      </c>
      <c r="J181" s="180">
        <f>SUM('Nissan Note RV62 UMD'!B3:B61)</f>
        <v>1650.71</v>
      </c>
      <c r="K181" s="73">
        <f>SUM(I181:J181)</f>
        <v>2850.71</v>
      </c>
      <c r="L181" s="180">
        <v>5375</v>
      </c>
      <c r="M181" s="73">
        <f>L181-SUM(I181:J181)</f>
        <v>2524.29</v>
      </c>
      <c r="N181" s="66" t="s">
        <v>29</v>
      </c>
    </row>
    <row r="182" spans="2:14" ht="24" customHeight="1">
      <c r="B182" s="236">
        <v>46054</v>
      </c>
      <c r="C182" s="355">
        <v>46003</v>
      </c>
      <c r="D182" s="12" t="s">
        <v>304</v>
      </c>
      <c r="E182" s="5" t="s">
        <v>305</v>
      </c>
      <c r="F182" s="5" t="s">
        <v>125</v>
      </c>
      <c r="G182" s="5" t="s">
        <v>297</v>
      </c>
      <c r="H182" s="186"/>
      <c r="I182" s="186">
        <v>5000</v>
      </c>
      <c r="J182" s="186">
        <f>SUM('Audi A7 OV61 WKH'!B3:B118)</f>
        <v>2573.46</v>
      </c>
      <c r="K182" s="8">
        <f>SUM(I182:J182)</f>
        <v>7573.46</v>
      </c>
      <c r="L182" s="13"/>
      <c r="M182" s="13"/>
      <c r="N182" s="16"/>
    </row>
    <row r="183" spans="2:14" ht="24" customHeight="1">
      <c r="B183" s="236">
        <v>46054</v>
      </c>
      <c r="C183" s="355">
        <v>46006</v>
      </c>
      <c r="D183" s="12" t="s">
        <v>203</v>
      </c>
      <c r="E183" s="5" t="s">
        <v>148</v>
      </c>
      <c r="F183" s="5" t="s">
        <v>129</v>
      </c>
      <c r="G183" s="5" t="s">
        <v>279</v>
      </c>
      <c r="H183" s="186"/>
      <c r="I183" s="186">
        <v>5500</v>
      </c>
      <c r="J183" s="186">
        <f>SUM('Audi A3 LG61 RTV'!B3:B63)</f>
        <v>993.7</v>
      </c>
      <c r="K183" s="8">
        <f>SUM(I183:J183)</f>
        <v>6493.7</v>
      </c>
      <c r="L183" s="13"/>
      <c r="M183" s="13"/>
      <c r="N183" s="16"/>
    </row>
    <row r="184" spans="2:14" ht="24" customHeight="1">
      <c r="B184" s="236">
        <v>46054</v>
      </c>
      <c r="C184" s="361">
        <v>46007</v>
      </c>
      <c r="D184" s="142" t="s">
        <v>235</v>
      </c>
      <c r="E184" s="143" t="s">
        <v>122</v>
      </c>
      <c r="F184" s="143" t="s">
        <v>107</v>
      </c>
      <c r="G184" s="143" t="s">
        <v>279</v>
      </c>
      <c r="H184" s="194"/>
      <c r="I184" s="194">
        <v>900</v>
      </c>
      <c r="J184" s="194">
        <f>SUM('Fiat 500 LK15'!B3:B36)</f>
        <v>3114.6099999999997</v>
      </c>
      <c r="K184" s="8">
        <f>Table12[[#This Row],[Reconditioning costs]]+Table12[[#This Row],[Price]]</f>
        <v>4014.6099999999997</v>
      </c>
      <c r="L184" s="13"/>
      <c r="M184" s="13"/>
      <c r="N184" s="16"/>
    </row>
    <row r="185" spans="2:14" ht="24" customHeight="1">
      <c r="B185" s="236">
        <v>46054</v>
      </c>
      <c r="C185" s="361">
        <v>46022</v>
      </c>
      <c r="D185" s="142" t="s">
        <v>225</v>
      </c>
      <c r="E185" s="143" t="s">
        <v>226</v>
      </c>
      <c r="F185" s="143" t="s">
        <v>129</v>
      </c>
      <c r="G185" s="143" t="s">
        <v>279</v>
      </c>
      <c r="H185" s="194"/>
      <c r="I185" s="257">
        <v>5200</v>
      </c>
      <c r="J185" s="194">
        <f>SUM('Mitsubishi DN16 YXF'!B3:B70)</f>
        <v>1297.8799999999999</v>
      </c>
      <c r="K185" s="8">
        <f>Table12[[#This Row],[Reconditioning costs]]+Table12[[#This Row],[Price]]</f>
        <v>6497.88</v>
      </c>
      <c r="L185" s="13"/>
      <c r="M185" s="13"/>
      <c r="N185" s="16"/>
    </row>
    <row r="186" spans="2:14" ht="24" customHeight="1">
      <c r="B186" s="210">
        <v>46054</v>
      </c>
      <c r="C186" s="362">
        <v>46031</v>
      </c>
      <c r="D186" s="243" t="s">
        <v>183</v>
      </c>
      <c r="E186" s="156" t="s">
        <v>184</v>
      </c>
      <c r="F186" s="157" t="s">
        <v>107</v>
      </c>
      <c r="G186" s="157" t="s">
        <v>297</v>
      </c>
      <c r="H186" s="244"/>
      <c r="I186" s="222">
        <v>7023</v>
      </c>
      <c r="J186" s="222">
        <f>SUM('Octavia VRS GY14 BZC'!B3:B50)</f>
        <v>1223.1500000000001</v>
      </c>
      <c r="K186" s="73">
        <f>Table12[[#This Row],[Reconditioning costs]]+Table12[[#This Row],[Price]]</f>
        <v>8246.15</v>
      </c>
      <c r="L186" s="180">
        <v>6500</v>
      </c>
      <c r="M186" s="73">
        <f>L186-SUM(I186:J186)</f>
        <v>-1746.1499999999996</v>
      </c>
      <c r="N186" s="66" t="s">
        <v>29</v>
      </c>
    </row>
    <row r="187" spans="2:14" ht="24" customHeight="1">
      <c r="B187" s="236">
        <v>46054</v>
      </c>
      <c r="C187" s="361">
        <v>46032</v>
      </c>
      <c r="D187" s="142" t="s">
        <v>306</v>
      </c>
      <c r="E187" s="142" t="s">
        <v>307</v>
      </c>
      <c r="F187" s="143" t="s">
        <v>107</v>
      </c>
      <c r="G187" s="143" t="s">
        <v>279</v>
      </c>
      <c r="H187" s="208"/>
      <c r="I187" s="194">
        <v>4950</v>
      </c>
      <c r="J187" s="194">
        <f>SUM('Suzuki Swift YB68 XYT'!B3:B55)</f>
        <v>424.73</v>
      </c>
      <c r="K187" s="8">
        <f>Table12[[#This Row],[Reconditioning costs]]+Table12[[#This Row],[Price]]</f>
        <v>5374.73</v>
      </c>
      <c r="L187" s="187"/>
      <c r="M187" s="187"/>
      <c r="N187" s="263"/>
    </row>
    <row r="188" spans="2:14" ht="24" customHeight="1">
      <c r="B188" s="236">
        <v>46054</v>
      </c>
      <c r="C188" s="363">
        <v>46033</v>
      </c>
      <c r="D188" s="142" t="s">
        <v>308</v>
      </c>
      <c r="E188" s="204" t="s">
        <v>309</v>
      </c>
      <c r="F188" s="205" t="s">
        <v>125</v>
      </c>
      <c r="G188" s="143" t="s">
        <v>297</v>
      </c>
      <c r="H188" s="241"/>
      <c r="I188" s="211">
        <v>5665.88</v>
      </c>
      <c r="J188" s="211">
        <f>SUM('BMW 120D PE65 LXZ'!B3:B42)</f>
        <v>862.84999999999991</v>
      </c>
      <c r="K188" s="8">
        <f>Table12[[#This Row],[Reconditioning costs]]+Table12[[#This Row],[Price]]</f>
        <v>6528.73</v>
      </c>
      <c r="L188" s="187"/>
      <c r="M188" s="187"/>
      <c r="N188" s="263"/>
    </row>
    <row r="189" spans="2:14" ht="24" customHeight="1">
      <c r="B189" s="236">
        <v>46054</v>
      </c>
      <c r="C189" s="355">
        <v>46050</v>
      </c>
      <c r="D189" s="12" t="s">
        <v>236</v>
      </c>
      <c r="E189" s="5" t="s">
        <v>237</v>
      </c>
      <c r="F189" s="5" t="s">
        <v>129</v>
      </c>
      <c r="G189" s="143" t="s">
        <v>279</v>
      </c>
      <c r="H189" s="186"/>
      <c r="I189" s="186">
        <v>5500</v>
      </c>
      <c r="J189" s="186">
        <f>SUM('Ford Mondeo DG68'!B3:B48)</f>
        <v>897.64</v>
      </c>
      <c r="K189" s="8">
        <f>Table12[[#This Row],[Reconditioning costs]]+Table12[[#This Row],[Price]]</f>
        <v>6397.64</v>
      </c>
      <c r="L189" s="187"/>
      <c r="M189" s="187"/>
      <c r="N189" s="263"/>
    </row>
    <row r="190" spans="2:14" ht="24" customHeight="1">
      <c r="B190" s="236">
        <v>46054</v>
      </c>
      <c r="C190" s="355">
        <v>46050</v>
      </c>
      <c r="D190" s="12" t="s">
        <v>205</v>
      </c>
      <c r="E190" s="12" t="s">
        <v>206</v>
      </c>
      <c r="F190" s="12" t="s">
        <v>107</v>
      </c>
      <c r="G190" s="143" t="s">
        <v>297</v>
      </c>
      <c r="H190" s="186"/>
      <c r="I190" s="186">
        <v>5300</v>
      </c>
      <c r="J190" s="186">
        <f>SUM('BMW 518D PG66'!B3:B57)</f>
        <v>1088.24</v>
      </c>
      <c r="K190" s="8">
        <f>Table12[[#This Row],[Reconditioning costs]]+Table12[[#This Row],[Price]]</f>
        <v>6388.24</v>
      </c>
      <c r="L190" s="187"/>
      <c r="M190" s="187"/>
      <c r="N190" s="263"/>
    </row>
    <row r="191" spans="2:14" ht="24" customHeight="1">
      <c r="B191" s="236">
        <v>46054</v>
      </c>
      <c r="C191" s="355">
        <v>46051</v>
      </c>
      <c r="D191" s="12" t="s">
        <v>310</v>
      </c>
      <c r="E191" s="5" t="s">
        <v>311</v>
      </c>
      <c r="F191" s="5" t="s">
        <v>312</v>
      </c>
      <c r="G191" s="143" t="s">
        <v>279</v>
      </c>
      <c r="H191" s="187"/>
      <c r="I191" s="186">
        <v>3850</v>
      </c>
      <c r="J191" s="186">
        <f>SUM('BMW 328i YB61'!B3:B163)</f>
        <v>2836.6800000000003</v>
      </c>
      <c r="K191" s="8">
        <f>Table12[[#This Row],[Reconditioning costs]]+Table12[[#This Row],[Price]]</f>
        <v>6686.68</v>
      </c>
      <c r="L191" s="187"/>
      <c r="M191" s="187"/>
      <c r="N191" s="263"/>
    </row>
    <row r="192" spans="2:14" ht="24" customHeight="1">
      <c r="B192" s="210">
        <v>46054</v>
      </c>
      <c r="C192" s="356">
        <v>46054</v>
      </c>
      <c r="D192" s="113" t="s">
        <v>200</v>
      </c>
      <c r="E192" s="266" t="s">
        <v>201</v>
      </c>
      <c r="F192" s="266" t="s">
        <v>107</v>
      </c>
      <c r="G192" s="266" t="s">
        <v>313</v>
      </c>
      <c r="H192" s="180"/>
      <c r="I192" s="180"/>
      <c r="J192" s="180">
        <f>SUM('Mokka LS13 UKA'!B3:B23)</f>
        <v>781.27</v>
      </c>
      <c r="K192" s="73">
        <f>SUM(Table12[[#This Row],[Reconditioning costs]],Table12[[#This Row],[PX Value]])</f>
        <v>781.27</v>
      </c>
      <c r="L192" s="180">
        <v>3000</v>
      </c>
      <c r="M192" s="73">
        <f>L192-SUM(I192:J192)</f>
        <v>2218.73</v>
      </c>
      <c r="N192" s="66" t="s">
        <v>29</v>
      </c>
    </row>
    <row r="193" spans="2:14" ht="24" customHeight="1">
      <c r="B193" s="236">
        <v>46054</v>
      </c>
      <c r="C193" s="355">
        <v>46054</v>
      </c>
      <c r="D193" s="6" t="s">
        <v>254</v>
      </c>
      <c r="E193" s="6" t="s">
        <v>255</v>
      </c>
      <c r="F193" s="6" t="s">
        <v>107</v>
      </c>
      <c r="G193" s="6" t="s">
        <v>313</v>
      </c>
      <c r="H193" s="186">
        <v>4000</v>
      </c>
      <c r="I193" s="186"/>
      <c r="J193" s="186">
        <f>SUM('Fabia GN66 YWZ PX'!B3:B32)</f>
        <v>122.46000000000001</v>
      </c>
      <c r="K193" s="8">
        <f>SUM(Table12[[#This Row],[Reconditioning costs]],Table12[[#This Row],[PX Value]])</f>
        <v>4122.46</v>
      </c>
      <c r="L193" s="186"/>
      <c r="M193" s="186"/>
      <c r="N193" s="264"/>
    </row>
    <row r="194" spans="2:14" ht="24" customHeight="1">
      <c r="B194" s="236">
        <v>46054</v>
      </c>
      <c r="C194" s="355">
        <v>46055</v>
      </c>
      <c r="D194" s="6" t="s">
        <v>221</v>
      </c>
      <c r="E194" s="6" t="s">
        <v>128</v>
      </c>
      <c r="F194" s="6" t="s">
        <v>110</v>
      </c>
      <c r="G194" s="6" t="s">
        <v>297</v>
      </c>
      <c r="H194" s="186"/>
      <c r="I194" s="186">
        <v>4925</v>
      </c>
      <c r="J194" s="186">
        <f>SUM('A5 WJ62 UVS'!B3:B32)</f>
        <v>1022.61</v>
      </c>
      <c r="K194" s="8">
        <f>Table12[[#This Row],[Reconditioning costs]]+Table12[[#This Row],[Price]]</f>
        <v>5947.61</v>
      </c>
      <c r="L194" s="186"/>
      <c r="M194" s="186"/>
      <c r="N194" s="264"/>
    </row>
    <row r="195" spans="2:14" ht="24" customHeight="1">
      <c r="B195" s="210">
        <v>46054</v>
      </c>
      <c r="C195" s="356">
        <v>46057</v>
      </c>
      <c r="D195" s="266" t="s">
        <v>191</v>
      </c>
      <c r="E195" s="266" t="s">
        <v>131</v>
      </c>
      <c r="F195" s="266" t="s">
        <v>113</v>
      </c>
      <c r="G195" s="266"/>
      <c r="H195" s="266"/>
      <c r="I195" s="180">
        <v>6700</v>
      </c>
      <c r="J195" s="180">
        <f>SUM('Audi A1 EN63 TKA '!B3:B26)</f>
        <v>972.2</v>
      </c>
      <c r="K195" s="73">
        <f>Table12[[#This Row],[Reconditioning costs]]+Table12[[#This Row],[Price]]</f>
        <v>7672.2</v>
      </c>
      <c r="L195" s="180">
        <f>7094-99</f>
        <v>6995</v>
      </c>
      <c r="M195" s="73">
        <f>L195-SUM(I195:J195)</f>
        <v>-677.19999999999982</v>
      </c>
      <c r="N195" s="66" t="s">
        <v>29</v>
      </c>
    </row>
    <row r="196" spans="2:14" ht="24" customHeight="1">
      <c r="B196" s="210">
        <v>46054</v>
      </c>
      <c r="C196" s="356">
        <v>46057</v>
      </c>
      <c r="D196" s="266" t="s">
        <v>189</v>
      </c>
      <c r="E196" s="266" t="s">
        <v>190</v>
      </c>
      <c r="F196" s="266" t="s">
        <v>110</v>
      </c>
      <c r="G196" s="266"/>
      <c r="H196" s="266"/>
      <c r="I196" s="180">
        <v>3500</v>
      </c>
      <c r="J196" s="180">
        <f>SUM('P3008 MF15 OPJ'!B3:B14)</f>
        <v>687.38</v>
      </c>
      <c r="K196" s="73">
        <f>Table12[[#This Row],[Reconditioning costs]]+Table12[[#This Row],[Price]]</f>
        <v>4187.38</v>
      </c>
      <c r="L196" s="180">
        <v>6394.29</v>
      </c>
      <c r="M196" s="73">
        <f>L196-SUM(I196:J196)</f>
        <v>2206.91</v>
      </c>
      <c r="N196" s="66" t="s">
        <v>29</v>
      </c>
    </row>
    <row r="197" spans="2:14" ht="24" customHeight="1">
      <c r="B197" s="236">
        <v>46054</v>
      </c>
      <c r="C197" s="355">
        <v>46059</v>
      </c>
      <c r="D197" s="6" t="s">
        <v>208</v>
      </c>
      <c r="E197" s="6" t="s">
        <v>209</v>
      </c>
      <c r="F197" s="6" t="s">
        <v>125</v>
      </c>
      <c r="G197" s="6"/>
      <c r="H197" s="6"/>
      <c r="I197" s="186">
        <v>4500</v>
      </c>
      <c r="J197" s="186">
        <f>SUM('Mazda CX5 EJ14 PTX'!B3:B28)</f>
        <v>836.28000000000009</v>
      </c>
      <c r="K197" s="8">
        <f>Table12[[#This Row],[Reconditioning costs]]+Table12[[#This Row],[Price]]</f>
        <v>5336.28</v>
      </c>
      <c r="L197" s="186"/>
      <c r="M197" s="186"/>
      <c r="N197" s="264"/>
    </row>
    <row r="198" spans="2:14" ht="24" customHeight="1">
      <c r="B198" s="236">
        <v>46054</v>
      </c>
      <c r="C198" s="355">
        <v>46060</v>
      </c>
      <c r="D198" s="6" t="s">
        <v>314</v>
      </c>
      <c r="E198" s="6" t="s">
        <v>315</v>
      </c>
      <c r="F198" s="6" t="s">
        <v>113</v>
      </c>
      <c r="G198" s="6"/>
      <c r="H198" s="6"/>
      <c r="I198" s="186">
        <v>5700</v>
      </c>
      <c r="J198" s="186">
        <f>SUM('BMW 318D S88 RDF'!B3:B22)</f>
        <v>1043.575</v>
      </c>
      <c r="K198" s="8">
        <f>Table12[[#This Row],[Reconditioning costs]]+Table12[[#This Row],[Price]]</f>
        <v>6743.5749999999998</v>
      </c>
      <c r="L198" s="186"/>
      <c r="M198" s="186"/>
      <c r="N198" s="264"/>
    </row>
    <row r="199" spans="2:14" ht="24" customHeight="1">
      <c r="B199" s="236">
        <v>46054</v>
      </c>
      <c r="C199" s="355">
        <v>46060</v>
      </c>
      <c r="D199" s="6" t="s">
        <v>316</v>
      </c>
      <c r="E199" s="6" t="s">
        <v>180</v>
      </c>
      <c r="F199" s="6" t="s">
        <v>113</v>
      </c>
      <c r="G199" s="6"/>
      <c r="H199" s="6"/>
      <c r="I199" s="186">
        <v>5500</v>
      </c>
      <c r="J199" s="186">
        <f>SUM('P2008 LS66 SVA'!B3:B35)</f>
        <v>592.52</v>
      </c>
      <c r="K199" s="8">
        <f>Table12[[#This Row],[Reconditioning costs]]+Table12[[#This Row],[Price]]</f>
        <v>6092.52</v>
      </c>
      <c r="L199" s="186"/>
      <c r="M199" s="186"/>
      <c r="N199" s="264"/>
    </row>
    <row r="200" spans="2:14" ht="24" customHeight="1">
      <c r="B200" s="210">
        <v>46054</v>
      </c>
      <c r="C200" s="356">
        <v>46060</v>
      </c>
      <c r="D200" s="266" t="s">
        <v>193</v>
      </c>
      <c r="E200" s="266" t="s">
        <v>194</v>
      </c>
      <c r="F200" s="266" t="s">
        <v>125</v>
      </c>
      <c r="G200" s="266"/>
      <c r="H200" s="266"/>
      <c r="I200" s="180">
        <v>4750</v>
      </c>
      <c r="J200" s="180">
        <f>SUM('Corsa YY65 CAU'!B3:B38)</f>
        <v>488.03500000000003</v>
      </c>
      <c r="K200" s="73">
        <f>Table12[[#This Row],[Reconditioning costs]]+Table12[[#This Row],[Price]]</f>
        <v>5238.0349999999999</v>
      </c>
      <c r="L200" s="180">
        <v>6995</v>
      </c>
      <c r="M200" s="73">
        <f>L200-SUM(I200:J200)</f>
        <v>1756.9650000000001</v>
      </c>
      <c r="N200" s="66" t="s">
        <v>29</v>
      </c>
    </row>
    <row r="201" spans="2:14" ht="24" customHeight="1">
      <c r="B201" s="236">
        <v>46054</v>
      </c>
      <c r="C201" s="355">
        <v>46062</v>
      </c>
      <c r="D201" s="12" t="s">
        <v>211</v>
      </c>
      <c r="E201" s="12" t="s">
        <v>212</v>
      </c>
      <c r="F201" s="12" t="s">
        <v>129</v>
      </c>
      <c r="G201" s="12"/>
      <c r="H201" s="12"/>
      <c r="I201" s="191">
        <v>6700</v>
      </c>
      <c r="J201" s="191">
        <f>SUM('CLA FV14 MYL'!B3:B24)</f>
        <v>1531.48</v>
      </c>
      <c r="K201" s="8">
        <f>Table12[[#This Row],[Reconditioning costs]]+Table12[[#This Row],[Price]]</f>
        <v>8231.48</v>
      </c>
      <c r="L201" s="191"/>
      <c r="M201" s="1"/>
      <c r="N201" s="237"/>
    </row>
    <row r="202" spans="2:14" ht="24" customHeight="1">
      <c r="B202" s="209">
        <v>46054</v>
      </c>
      <c r="C202" s="355">
        <v>46066</v>
      </c>
      <c r="D202" s="12" t="s">
        <v>228</v>
      </c>
      <c r="E202" s="12" t="s">
        <v>229</v>
      </c>
      <c r="F202" s="12" t="s">
        <v>129</v>
      </c>
      <c r="G202" s="12"/>
      <c r="H202" s="12"/>
      <c r="I202" s="191">
        <v>4900</v>
      </c>
      <c r="J202" s="191">
        <f>SUM('Polo GTI VK62 THV'!B3:B37)</f>
        <v>610.52</v>
      </c>
      <c r="K202" s="8">
        <f>Table12[[#This Row],[Reconditioning costs]]+Table12[[#This Row],[Price]]</f>
        <v>5510.52</v>
      </c>
      <c r="L202" s="191"/>
      <c r="M202" s="1"/>
      <c r="N202" s="237"/>
    </row>
    <row r="203" spans="2:14" ht="24" customHeight="1">
      <c r="B203" s="209">
        <v>46054</v>
      </c>
      <c r="C203" s="355">
        <v>46067</v>
      </c>
      <c r="D203" s="12" t="s">
        <v>249</v>
      </c>
      <c r="E203" s="12" t="s">
        <v>70</v>
      </c>
      <c r="F203" s="12" t="s">
        <v>107</v>
      </c>
      <c r="G203" s="12" t="s">
        <v>313</v>
      </c>
      <c r="H203" s="191">
        <v>2800</v>
      </c>
      <c r="I203" s="191"/>
      <c r="J203" s="191">
        <f>SUM('Fiesta FN62HKO'!B3:B20)</f>
        <v>240.07999999999998</v>
      </c>
      <c r="K203" s="8">
        <f>Table12[[#This Row],[Reconditioning costs]]+Table12[[#This Row],[Price]]</f>
        <v>240.07999999999998</v>
      </c>
      <c r="L203" s="191"/>
      <c r="M203" s="191"/>
      <c r="N203" s="237"/>
    </row>
    <row r="204" spans="2:14" ht="24" customHeight="1">
      <c r="B204" s="209">
        <v>46054</v>
      </c>
      <c r="C204" s="355">
        <v>46071</v>
      </c>
      <c r="D204" s="12" t="s">
        <v>244</v>
      </c>
      <c r="E204" s="12" t="s">
        <v>245</v>
      </c>
      <c r="F204" s="12" t="s">
        <v>107</v>
      </c>
      <c r="G204" s="12"/>
      <c r="H204" s="191"/>
      <c r="I204" s="191">
        <v>6400</v>
      </c>
      <c r="J204" s="191">
        <f>SUM('GOLF RJ14 YZN'!B3:B24)</f>
        <v>593.21999999999991</v>
      </c>
      <c r="K204" s="8">
        <f>Table12[[#This Row],[Reconditioning costs]]+Table12[[#This Row],[Price]]</f>
        <v>6993.22</v>
      </c>
      <c r="L204" s="191"/>
      <c r="M204" s="191"/>
      <c r="N204" s="237"/>
    </row>
    <row r="205" spans="2:14" ht="24" customHeight="1">
      <c r="B205" s="209">
        <v>46054</v>
      </c>
      <c r="C205" s="355">
        <v>46071</v>
      </c>
      <c r="D205" s="142" t="s">
        <v>317</v>
      </c>
      <c r="E205" s="142" t="s">
        <v>229</v>
      </c>
      <c r="F205" s="142" t="s">
        <v>107</v>
      </c>
      <c r="G205" s="142"/>
      <c r="H205" s="257"/>
      <c r="I205" s="257">
        <v>4150</v>
      </c>
      <c r="J205" s="191">
        <f>SUM('POLO GTI BK61 SWZ'!B3:B28)</f>
        <v>629.49</v>
      </c>
      <c r="K205" s="8">
        <f>Table12[[#This Row],[Reconditioning costs]]+Table12[[#This Row],[Price]]</f>
        <v>4779.49</v>
      </c>
      <c r="L205" s="191"/>
      <c r="M205" s="191"/>
      <c r="N205" s="265"/>
    </row>
    <row r="206" spans="2:14" ht="24" customHeight="1">
      <c r="B206" s="209">
        <v>46054</v>
      </c>
      <c r="C206" s="355">
        <v>46071</v>
      </c>
      <c r="D206" s="12" t="s">
        <v>318</v>
      </c>
      <c r="E206" s="5" t="s">
        <v>146</v>
      </c>
      <c r="F206" s="5" t="s">
        <v>106</v>
      </c>
      <c r="G206" s="5"/>
      <c r="H206" s="186"/>
      <c r="I206" s="186">
        <v>4400</v>
      </c>
      <c r="J206" s="186">
        <f>SUM('Mazda 6 WA13XCV'!B3:B29)</f>
        <v>1158.93</v>
      </c>
      <c r="K206" s="8">
        <f>Table12[[#This Row],[Reconditioning costs]]+Table12[[#This Row],[Price]]</f>
        <v>5558.93</v>
      </c>
      <c r="L206" s="186"/>
      <c r="M206" s="186"/>
      <c r="N206" s="37"/>
    </row>
    <row r="207" spans="2:14" ht="24" customHeight="1">
      <c r="B207" s="209">
        <v>46054</v>
      </c>
      <c r="C207" s="355">
        <v>46073</v>
      </c>
      <c r="D207" s="12" t="s">
        <v>218</v>
      </c>
      <c r="E207" s="12" t="s">
        <v>219</v>
      </c>
      <c r="F207" s="12" t="s">
        <v>113</v>
      </c>
      <c r="G207" s="12"/>
      <c r="H207" s="191"/>
      <c r="I207" s="191">
        <v>6300</v>
      </c>
      <c r="J207" s="191">
        <f>SUM('C Class BJ64 OSE'!B3:B24)</f>
        <v>1208.9100000000001</v>
      </c>
      <c r="K207" s="8">
        <f>Table12[[#This Row],[Reconditioning costs]]+Table12[[#This Row],[Price]]</f>
        <v>7508.91</v>
      </c>
      <c r="L207" s="191"/>
      <c r="M207" s="187"/>
      <c r="N207" s="16"/>
    </row>
    <row r="208" spans="2:14" ht="24" customHeight="1">
      <c r="B208" s="209">
        <v>46054</v>
      </c>
      <c r="C208" s="355">
        <v>46073</v>
      </c>
      <c r="D208" s="148" t="s">
        <v>319</v>
      </c>
      <c r="E208" s="148" t="s">
        <v>320</v>
      </c>
      <c r="F208" s="148" t="s">
        <v>129</v>
      </c>
      <c r="G208" s="186" t="s">
        <v>271</v>
      </c>
      <c r="H208" s="186"/>
      <c r="I208" s="186">
        <v>7900</v>
      </c>
      <c r="J208" s="186">
        <f>SUM('Passat PL18 KLM'!B3:B22)</f>
        <v>616.69000000000005</v>
      </c>
      <c r="K208" s="8">
        <f>Table12[[#This Row],[Reconditioning costs]]+Table12[[#This Row],[Price]]</f>
        <v>8516.69</v>
      </c>
      <c r="L208" s="105"/>
      <c r="M208" s="105"/>
      <c r="N208" s="37"/>
    </row>
    <row r="209" spans="2:14" ht="24" customHeight="1">
      <c r="B209" s="209">
        <v>46054</v>
      </c>
      <c r="C209" s="365" t="s">
        <v>214</v>
      </c>
      <c r="D209" s="12" t="s">
        <v>215</v>
      </c>
      <c r="E209" s="5" t="s">
        <v>216</v>
      </c>
      <c r="F209" s="5" t="s">
        <v>110</v>
      </c>
      <c r="G209" s="5"/>
      <c r="H209" s="186"/>
      <c r="I209" s="186">
        <v>4000</v>
      </c>
      <c r="J209" s="186">
        <f>SUM('A6 DN14 WEP'!B3:B21)</f>
        <v>606.41000000000008</v>
      </c>
      <c r="K209" s="8">
        <f>Table12[[#This Row],[Reconditioning costs]]+Table12[[#This Row],[Price]]</f>
        <v>4606.41</v>
      </c>
      <c r="L209" s="186"/>
      <c r="M209" s="186"/>
      <c r="N209" s="37"/>
    </row>
    <row r="210" spans="2:14" ht="24" customHeight="1">
      <c r="B210" s="209">
        <v>46054</v>
      </c>
      <c r="C210" s="358">
        <v>46077</v>
      </c>
      <c r="D210" s="18" t="s">
        <v>241</v>
      </c>
      <c r="E210" s="18" t="s">
        <v>242</v>
      </c>
      <c r="F210" s="5" t="s">
        <v>110</v>
      </c>
      <c r="G210" s="18"/>
      <c r="H210" s="18"/>
      <c r="I210" s="274">
        <v>7000</v>
      </c>
      <c r="J210" s="274">
        <f>SUM('Golf R VX16 XJU'!B3:B22)</f>
        <v>491.5</v>
      </c>
      <c r="K210" s="8">
        <f>Table12[[#This Row],[Reconditioning costs]]+Table12[[#This Row],[Price]]</f>
        <v>7491.5</v>
      </c>
      <c r="L210" s="274"/>
      <c r="M210" s="274"/>
      <c r="N210" s="18"/>
    </row>
    <row r="211" spans="2:14" ht="24" customHeight="1">
      <c r="B211" s="209">
        <v>46054</v>
      </c>
      <c r="C211" s="358">
        <v>46077</v>
      </c>
      <c r="D211" s="18" t="s">
        <v>223</v>
      </c>
      <c r="E211" s="18" t="s">
        <v>321</v>
      </c>
      <c r="F211" s="18" t="s">
        <v>322</v>
      </c>
      <c r="G211" s="18"/>
      <c r="H211" s="18"/>
      <c r="I211" s="274">
        <v>4100</v>
      </c>
      <c r="J211" s="274">
        <f>SUM('A5 LJ13 UAC'!B3:B21)</f>
        <v>525.13</v>
      </c>
      <c r="K211" s="8">
        <f>Table12[[#This Row],[Reconditioning costs]]+Table12[[#This Row],[Price]]</f>
        <v>4625.13</v>
      </c>
      <c r="L211" s="274"/>
      <c r="M211" s="274"/>
      <c r="N211" s="18"/>
    </row>
    <row r="212" spans="2:14" ht="24" customHeight="1">
      <c r="B212" s="209">
        <v>46054</v>
      </c>
      <c r="C212" s="358">
        <v>46080</v>
      </c>
      <c r="D212" s="59" t="s">
        <v>323</v>
      </c>
      <c r="E212" s="59" t="s">
        <v>324</v>
      </c>
      <c r="F212" s="59" t="s">
        <v>113</v>
      </c>
      <c r="G212" s="59"/>
      <c r="H212" s="59"/>
      <c r="I212" s="278">
        <v>6425</v>
      </c>
      <c r="J212" s="278">
        <f>SUM('Merc C200 HF64 PLZ'!B3:B23)</f>
        <v>664.8</v>
      </c>
      <c r="K212" s="8">
        <f>Table12[[#This Row],[Reconditioning costs]]+Table12[[#This Row],[Price]]</f>
        <v>7089.8</v>
      </c>
      <c r="L212" s="278"/>
      <c r="M212" s="278"/>
      <c r="N212" s="18"/>
    </row>
    <row r="213" spans="2:14" ht="24" customHeight="1">
      <c r="B213" s="231">
        <v>46054</v>
      </c>
      <c r="C213" s="359"/>
      <c r="D213" s="60"/>
      <c r="E213" s="60"/>
      <c r="F213" s="60"/>
      <c r="G213" s="60"/>
      <c r="H213" s="60"/>
      <c r="I213" s="192"/>
      <c r="J213" s="192"/>
      <c r="K213" s="192"/>
      <c r="L213" s="192"/>
      <c r="M213" s="192"/>
      <c r="N213" s="31"/>
    </row>
    <row r="214" spans="2:14" ht="26" customHeight="1">
      <c r="B214" s="209">
        <v>46082</v>
      </c>
      <c r="C214" s="355">
        <v>45989</v>
      </c>
      <c r="D214" s="62" t="s">
        <v>238</v>
      </c>
      <c r="E214" s="62" t="s">
        <v>239</v>
      </c>
      <c r="F214" s="62" t="s">
        <v>107</v>
      </c>
      <c r="G214" s="12" t="s">
        <v>279</v>
      </c>
      <c r="H214" s="181"/>
      <c r="I214" s="181">
        <v>3200</v>
      </c>
      <c r="J214" s="181">
        <f>SUM('Polo MF14 TUH'!B3:B142)</f>
        <v>1701.89</v>
      </c>
      <c r="K214" s="10">
        <f>SUM(H214:J214)</f>
        <v>4901.8900000000003</v>
      </c>
      <c r="L214" s="183"/>
      <c r="M214" s="183"/>
      <c r="N214" s="59"/>
    </row>
    <row r="215" spans="2:14" ht="26" customHeight="1">
      <c r="B215" s="209">
        <v>46082</v>
      </c>
      <c r="C215" s="355">
        <v>46003</v>
      </c>
      <c r="D215" s="12" t="s">
        <v>304</v>
      </c>
      <c r="E215" s="12" t="s">
        <v>305</v>
      </c>
      <c r="F215" s="12" t="s">
        <v>125</v>
      </c>
      <c r="G215" s="12" t="s">
        <v>297</v>
      </c>
      <c r="H215" s="181"/>
      <c r="I215" s="181">
        <v>5000</v>
      </c>
      <c r="J215" s="181">
        <f>SUM('Audi A7 OV61 WKH'!B3:B151)</f>
        <v>2573.46</v>
      </c>
      <c r="K215" s="10">
        <f>SUM(I215:J215)</f>
        <v>7573.46</v>
      </c>
      <c r="L215" s="183"/>
      <c r="M215" s="183"/>
      <c r="N215" s="59"/>
    </row>
    <row r="216" spans="2:14" ht="26" customHeight="1">
      <c r="B216" s="210">
        <v>46082</v>
      </c>
      <c r="C216" s="356">
        <v>46006</v>
      </c>
      <c r="D216" s="113" t="s">
        <v>203</v>
      </c>
      <c r="E216" s="113" t="s">
        <v>148</v>
      </c>
      <c r="F216" s="113" t="s">
        <v>129</v>
      </c>
      <c r="G216" s="113" t="s">
        <v>279</v>
      </c>
      <c r="H216" s="180"/>
      <c r="I216" s="180">
        <v>5500</v>
      </c>
      <c r="J216" s="180">
        <f>SUM('Audi A3 LG61 RTV'!B3:B96)</f>
        <v>993.7</v>
      </c>
      <c r="K216" s="73">
        <f>SUM(I216:J216)</f>
        <v>6493.7</v>
      </c>
      <c r="L216" s="178">
        <v>8500</v>
      </c>
      <c r="M216" s="73">
        <f>L216-SUM(I216:J216)</f>
        <v>2006.3000000000002</v>
      </c>
      <c r="N216" s="331" t="s">
        <v>29</v>
      </c>
    </row>
    <row r="217" spans="2:14" ht="26" customHeight="1">
      <c r="B217" s="210">
        <v>46082</v>
      </c>
      <c r="C217" s="362">
        <v>46007</v>
      </c>
      <c r="D217" s="156" t="s">
        <v>235</v>
      </c>
      <c r="E217" s="156" t="s">
        <v>122</v>
      </c>
      <c r="F217" s="156" t="s">
        <v>107</v>
      </c>
      <c r="G217" s="156" t="s">
        <v>279</v>
      </c>
      <c r="H217" s="327"/>
      <c r="I217" s="327">
        <v>900</v>
      </c>
      <c r="J217" s="327">
        <f>SUM('Fiat 500 LK15'!B3:B69)</f>
        <v>3114.6099999999997</v>
      </c>
      <c r="K217" s="317">
        <f>Table12[[#This Row],[Reconditioning costs]]+Table12[[#This Row],[Price]]</f>
        <v>4014.6099999999997</v>
      </c>
      <c r="L217" s="316">
        <v>6800</v>
      </c>
      <c r="M217" s="73">
        <f>L217-SUM(I217:J217)</f>
        <v>2785.3900000000003</v>
      </c>
      <c r="N217" s="331" t="s">
        <v>29</v>
      </c>
    </row>
    <row r="218" spans="2:14" ht="26" customHeight="1">
      <c r="B218" s="210">
        <v>46082</v>
      </c>
      <c r="C218" s="362">
        <v>46022</v>
      </c>
      <c r="D218" s="156" t="s">
        <v>225</v>
      </c>
      <c r="E218" s="156" t="s">
        <v>226</v>
      </c>
      <c r="F218" s="156" t="s">
        <v>129</v>
      </c>
      <c r="G218" s="156" t="s">
        <v>279</v>
      </c>
      <c r="H218" s="327"/>
      <c r="I218" s="327">
        <v>5200</v>
      </c>
      <c r="J218" s="327">
        <f>SUM('Mitsubishi DN16 YXF'!B3:B103)</f>
        <v>1297.8799999999999</v>
      </c>
      <c r="K218" s="317">
        <f>Table12[[#This Row],[Reconditioning costs]]+Table12[[#This Row],[Price]]</f>
        <v>6497.88</v>
      </c>
      <c r="L218" s="178">
        <v>8650</v>
      </c>
      <c r="M218" s="73">
        <f>L218-SUM(I218:J218)</f>
        <v>2152.12</v>
      </c>
      <c r="N218" s="331" t="s">
        <v>29</v>
      </c>
    </row>
    <row r="219" spans="2:14" ht="26" customHeight="1">
      <c r="B219" s="209">
        <v>46082</v>
      </c>
      <c r="C219" s="361">
        <v>46032</v>
      </c>
      <c r="D219" s="142" t="s">
        <v>306</v>
      </c>
      <c r="E219" s="142" t="s">
        <v>307</v>
      </c>
      <c r="F219" s="142" t="s">
        <v>107</v>
      </c>
      <c r="G219" s="142" t="s">
        <v>279</v>
      </c>
      <c r="H219" s="304"/>
      <c r="I219" s="303">
        <v>4950</v>
      </c>
      <c r="J219" s="303">
        <f>SUM('Suzuki Swift YB68 XYT'!B3:B87)</f>
        <v>424.73</v>
      </c>
      <c r="K219" s="10">
        <f>Table12[[#This Row],[Reconditioning costs]]+Table12[[#This Row],[Price]]</f>
        <v>5374.73</v>
      </c>
      <c r="L219" s="183"/>
      <c r="M219" s="183"/>
      <c r="N219" s="59"/>
    </row>
    <row r="220" spans="2:14" ht="26" customHeight="1">
      <c r="B220" s="209">
        <v>46082</v>
      </c>
      <c r="C220" s="363">
        <v>46033</v>
      </c>
      <c r="D220" s="142" t="s">
        <v>308</v>
      </c>
      <c r="E220" s="204" t="s">
        <v>309</v>
      </c>
      <c r="F220" s="204" t="s">
        <v>125</v>
      </c>
      <c r="G220" s="142" t="s">
        <v>297</v>
      </c>
      <c r="H220" s="305"/>
      <c r="I220" s="306">
        <v>5665.88</v>
      </c>
      <c r="J220" s="306">
        <f>SUM('BMW 120D PE65 LXZ'!B3:B74)</f>
        <v>862.84999999999991</v>
      </c>
      <c r="K220" s="10">
        <f>Table12[[#This Row],[Reconditioning costs]]+Table12[[#This Row],[Price]]</f>
        <v>6528.73</v>
      </c>
      <c r="L220" s="183"/>
      <c r="M220" s="183"/>
      <c r="N220" s="59"/>
    </row>
    <row r="221" spans="2:14" ht="26" customHeight="1">
      <c r="B221" s="210">
        <v>46082</v>
      </c>
      <c r="C221" s="356">
        <v>46050</v>
      </c>
      <c r="D221" s="113" t="s">
        <v>236</v>
      </c>
      <c r="E221" s="113" t="s">
        <v>237</v>
      </c>
      <c r="F221" s="113" t="s">
        <v>129</v>
      </c>
      <c r="G221" s="156" t="s">
        <v>279</v>
      </c>
      <c r="H221" s="316"/>
      <c r="I221" s="316">
        <v>5500</v>
      </c>
      <c r="J221" s="316">
        <f>SUM('Ford Mondeo DG68'!B3:B80)</f>
        <v>897.64</v>
      </c>
      <c r="K221" s="317">
        <f>Table12[[#This Row],[Reconditioning costs]]+Table12[[#This Row],[Price]]</f>
        <v>6397.64</v>
      </c>
      <c r="L221" s="316">
        <v>8695</v>
      </c>
      <c r="M221" s="73">
        <f>L221-SUM(I221:J221)</f>
        <v>2297.3599999999997</v>
      </c>
      <c r="N221" s="331" t="s">
        <v>29</v>
      </c>
    </row>
    <row r="222" spans="2:14" ht="26" customHeight="1">
      <c r="B222" s="210">
        <v>46082</v>
      </c>
      <c r="C222" s="356">
        <v>46050</v>
      </c>
      <c r="D222" s="113" t="s">
        <v>205</v>
      </c>
      <c r="E222" s="113" t="s">
        <v>206</v>
      </c>
      <c r="F222" s="113" t="s">
        <v>107</v>
      </c>
      <c r="G222" s="156" t="s">
        <v>297</v>
      </c>
      <c r="H222" s="180">
        <v>5500</v>
      </c>
      <c r="I222" s="180">
        <v>5300</v>
      </c>
      <c r="J222" s="180">
        <f>SUM('BMW 518D PG66'!B3:B89)</f>
        <v>1088.24</v>
      </c>
      <c r="K222" s="73">
        <f>Table12[[#This Row],[Reconditioning costs]]+Table12[[#This Row],[Price]]</f>
        <v>6388.24</v>
      </c>
      <c r="L222" s="178">
        <v>2295</v>
      </c>
      <c r="M222" s="73">
        <f>L222-SUM(I222:J222)</f>
        <v>-4093.24</v>
      </c>
      <c r="N222" s="331" t="s">
        <v>29</v>
      </c>
    </row>
    <row r="223" spans="2:14" ht="26" customHeight="1">
      <c r="B223" s="209">
        <v>46082</v>
      </c>
      <c r="C223" s="355">
        <v>46051</v>
      </c>
      <c r="D223" s="12" t="s">
        <v>310</v>
      </c>
      <c r="E223" s="12" t="s">
        <v>311</v>
      </c>
      <c r="F223" s="12" t="s">
        <v>107</v>
      </c>
      <c r="G223" s="142" t="s">
        <v>279</v>
      </c>
      <c r="H223" s="179"/>
      <c r="I223" s="181">
        <v>3850</v>
      </c>
      <c r="J223" s="181">
        <f>SUM('BMW 328i YB61'!B3:B195)</f>
        <v>2836.6800000000003</v>
      </c>
      <c r="K223" s="10">
        <f>Table12[[#This Row],[Reconditioning costs]]+Table12[[#This Row],[Price]]</f>
        <v>6686.68</v>
      </c>
      <c r="L223" s="183"/>
      <c r="M223" s="183"/>
      <c r="N223" s="59"/>
    </row>
    <row r="224" spans="2:14" ht="26" customHeight="1">
      <c r="B224" s="209">
        <v>46082</v>
      </c>
      <c r="C224" s="355">
        <v>46054</v>
      </c>
      <c r="D224" s="173" t="s">
        <v>254</v>
      </c>
      <c r="E224" s="173" t="s">
        <v>255</v>
      </c>
      <c r="F224" s="173" t="s">
        <v>107</v>
      </c>
      <c r="G224" s="173" t="s">
        <v>313</v>
      </c>
      <c r="H224" s="181">
        <v>4000</v>
      </c>
      <c r="I224" s="181"/>
      <c r="J224" s="181">
        <f>SUM('Fabia GN66 YWZ PX'!B3:B64)</f>
        <v>122.46000000000001</v>
      </c>
      <c r="K224" s="10">
        <f>SUM(Table12[[#This Row],[Reconditioning costs]],Table12[[#This Row],[PX Value]])</f>
        <v>4122.46</v>
      </c>
      <c r="L224" s="183"/>
      <c r="M224" s="183"/>
      <c r="N224" s="59"/>
    </row>
    <row r="225" spans="2:14" ht="26" customHeight="1">
      <c r="B225" s="210">
        <v>46082</v>
      </c>
      <c r="C225" s="356">
        <v>46055</v>
      </c>
      <c r="D225" s="174" t="s">
        <v>221</v>
      </c>
      <c r="E225" s="174" t="s">
        <v>128</v>
      </c>
      <c r="F225" s="174" t="s">
        <v>110</v>
      </c>
      <c r="G225" s="174" t="s">
        <v>297</v>
      </c>
      <c r="H225" s="180"/>
      <c r="I225" s="180">
        <v>4925</v>
      </c>
      <c r="J225" s="180">
        <f>SUM('A5 WJ62 UVS'!B3:B64)</f>
        <v>1022.61</v>
      </c>
      <c r="K225" s="73">
        <f>Table12[[#This Row],[Reconditioning costs]]+Table12[[#This Row],[Price]]</f>
        <v>5947.61</v>
      </c>
      <c r="L225" s="178">
        <v>7495</v>
      </c>
      <c r="M225" s="73">
        <f>L225-SUM(I225:J225)</f>
        <v>1547.3900000000003</v>
      </c>
      <c r="N225" s="331" t="s">
        <v>29</v>
      </c>
    </row>
    <row r="226" spans="2:14" ht="26" customHeight="1">
      <c r="B226" s="210">
        <v>46082</v>
      </c>
      <c r="C226" s="356">
        <v>46059</v>
      </c>
      <c r="D226" s="174" t="s">
        <v>208</v>
      </c>
      <c r="E226" s="174" t="s">
        <v>209</v>
      </c>
      <c r="F226" s="174" t="s">
        <v>125</v>
      </c>
      <c r="G226" s="174"/>
      <c r="H226" s="266"/>
      <c r="I226" s="180">
        <v>4500</v>
      </c>
      <c r="J226" s="180">
        <f>SUM('Mazda CX5 EJ14 PTX'!B3:B58)</f>
        <v>836.28000000000009</v>
      </c>
      <c r="K226" s="73">
        <f>Table12[[#This Row],[Reconditioning costs]]+Table12[[#This Row],[Price]]</f>
        <v>5336.28</v>
      </c>
      <c r="L226" s="178">
        <v>7200</v>
      </c>
      <c r="M226" s="73">
        <f>L226-SUM(I226:J226)</f>
        <v>1863.7200000000003</v>
      </c>
      <c r="N226" s="331" t="s">
        <v>29</v>
      </c>
    </row>
    <row r="227" spans="2:14" ht="26" customHeight="1">
      <c r="B227" s="209">
        <v>46082</v>
      </c>
      <c r="C227" s="355">
        <v>46060</v>
      </c>
      <c r="D227" s="173" t="s">
        <v>314</v>
      </c>
      <c r="E227" s="173" t="s">
        <v>315</v>
      </c>
      <c r="F227" s="173" t="s">
        <v>113</v>
      </c>
      <c r="G227" s="173"/>
      <c r="H227" s="295"/>
      <c r="I227" s="181">
        <v>5700</v>
      </c>
      <c r="J227" s="181">
        <f>SUM('BMW 318D S88 RDF'!B3:B52)</f>
        <v>1043.575</v>
      </c>
      <c r="K227" s="10">
        <f>Table12[[#This Row],[Reconditioning costs]]+Table12[[#This Row],[Price]]</f>
        <v>6743.5749999999998</v>
      </c>
      <c r="L227" s="183"/>
      <c r="M227" s="183"/>
      <c r="N227" s="59"/>
    </row>
    <row r="228" spans="2:14" ht="26" customHeight="1">
      <c r="B228" s="209">
        <v>46082</v>
      </c>
      <c r="C228" s="355">
        <v>46060</v>
      </c>
      <c r="D228" s="173" t="s">
        <v>316</v>
      </c>
      <c r="E228" s="173" t="s">
        <v>180</v>
      </c>
      <c r="F228" s="173" t="s">
        <v>113</v>
      </c>
      <c r="G228" s="173"/>
      <c r="H228" s="295"/>
      <c r="I228" s="181">
        <v>5500</v>
      </c>
      <c r="J228" s="181">
        <f>SUM('P2008 LS66 SVA'!B3:B65)</f>
        <v>592.52</v>
      </c>
      <c r="K228" s="10">
        <f>Table12[[#This Row],[Reconditioning costs]]+Table12[[#This Row],[Price]]</f>
        <v>6092.52</v>
      </c>
      <c r="L228" s="183"/>
      <c r="M228" s="183"/>
      <c r="N228" s="59"/>
    </row>
    <row r="229" spans="2:14" ht="26" customHeight="1">
      <c r="B229" s="210">
        <v>46082</v>
      </c>
      <c r="C229" s="356">
        <v>46062</v>
      </c>
      <c r="D229" s="113" t="s">
        <v>211</v>
      </c>
      <c r="E229" s="113" t="s">
        <v>212</v>
      </c>
      <c r="F229" s="113" t="s">
        <v>129</v>
      </c>
      <c r="G229" s="113"/>
      <c r="H229" s="113"/>
      <c r="I229" s="178">
        <v>6700</v>
      </c>
      <c r="J229" s="178">
        <f>SUM('CLA FV14 MYL'!B3:B52)</f>
        <v>1531.48</v>
      </c>
      <c r="K229" s="73">
        <f>Table12[[#This Row],[Reconditioning costs]]+Table12[[#This Row],[Price]]</f>
        <v>8231.48</v>
      </c>
      <c r="L229" s="178">
        <v>10995</v>
      </c>
      <c r="M229" s="73">
        <f>L229-SUM(I229:J229)</f>
        <v>2763.5200000000004</v>
      </c>
      <c r="N229" s="331" t="s">
        <v>29</v>
      </c>
    </row>
    <row r="230" spans="2:14" ht="26" customHeight="1">
      <c r="B230" s="210">
        <v>46082</v>
      </c>
      <c r="C230" s="356">
        <v>46066</v>
      </c>
      <c r="D230" s="113" t="s">
        <v>228</v>
      </c>
      <c r="E230" s="113" t="s">
        <v>229</v>
      </c>
      <c r="F230" s="113" t="s">
        <v>129</v>
      </c>
      <c r="G230" s="113"/>
      <c r="H230" s="315"/>
      <c r="I230" s="316">
        <v>4900</v>
      </c>
      <c r="J230" s="316">
        <f>SUM('Polo GTI VK62 THV'!B3:B65)</f>
        <v>610.52</v>
      </c>
      <c r="K230" s="317">
        <f>Table12[[#This Row],[Reconditioning costs]]+Table12[[#This Row],[Price]]</f>
        <v>5510.52</v>
      </c>
      <c r="L230" s="316">
        <v>7795</v>
      </c>
      <c r="M230" s="73">
        <f>L230-SUM(I230:J230)</f>
        <v>2284.4799999999996</v>
      </c>
      <c r="N230" s="331" t="s">
        <v>29</v>
      </c>
    </row>
    <row r="231" spans="2:14" ht="26" customHeight="1">
      <c r="B231" s="209">
        <v>46082</v>
      </c>
      <c r="C231" s="355">
        <v>46067</v>
      </c>
      <c r="D231" s="12" t="s">
        <v>249</v>
      </c>
      <c r="E231" s="12" t="s">
        <v>70</v>
      </c>
      <c r="F231" s="12" t="s">
        <v>107</v>
      </c>
      <c r="G231" s="12" t="s">
        <v>313</v>
      </c>
      <c r="H231" s="181">
        <v>2800</v>
      </c>
      <c r="I231" s="181"/>
      <c r="J231" s="181">
        <f>SUM('Fiesta FN62HKO'!B3:B48)</f>
        <v>240.07999999999998</v>
      </c>
      <c r="K231" s="10">
        <f>Table12[[#This Row],[Reconditioning costs]]+Table12[[#This Row],[Price]]</f>
        <v>240.07999999999998</v>
      </c>
      <c r="L231" s="183"/>
      <c r="M231" s="183"/>
      <c r="N231" s="59"/>
    </row>
    <row r="232" spans="2:14" ht="26" customHeight="1">
      <c r="B232" s="209">
        <v>46082</v>
      </c>
      <c r="C232" s="355">
        <v>46071</v>
      </c>
      <c r="D232" s="12" t="s">
        <v>244</v>
      </c>
      <c r="E232" s="12" t="s">
        <v>245</v>
      </c>
      <c r="F232" s="12" t="s">
        <v>107</v>
      </c>
      <c r="G232" s="12"/>
      <c r="H232" s="181"/>
      <c r="I232" s="181">
        <v>6400</v>
      </c>
      <c r="J232" s="181">
        <f>SUM('GOLF RJ14 YZN'!B3:B52)</f>
        <v>593.21999999999991</v>
      </c>
      <c r="K232" s="10">
        <f>Table12[[#This Row],[Reconditioning costs]]+Table12[[#This Row],[Price]]</f>
        <v>6993.22</v>
      </c>
      <c r="L232" s="183"/>
      <c r="M232" s="183"/>
      <c r="N232" s="59"/>
    </row>
    <row r="233" spans="2:14" ht="26" customHeight="1">
      <c r="B233" s="209">
        <v>46082</v>
      </c>
      <c r="C233" s="355">
        <v>46071</v>
      </c>
      <c r="D233" s="142" t="s">
        <v>317</v>
      </c>
      <c r="E233" s="142" t="s">
        <v>229</v>
      </c>
      <c r="F233" s="142" t="s">
        <v>107</v>
      </c>
      <c r="G233" s="142"/>
      <c r="H233" s="303"/>
      <c r="I233" s="303">
        <v>4150</v>
      </c>
      <c r="J233" s="181">
        <f>SUM('POLO GTI BK61 SWZ'!B3:B56)</f>
        <v>629.49</v>
      </c>
      <c r="K233" s="10">
        <f>Table12[[#This Row],[Reconditioning costs]]+Table12[[#This Row],[Price]]</f>
        <v>4779.49</v>
      </c>
      <c r="L233" s="183"/>
      <c r="M233" s="183"/>
      <c r="N233" s="59"/>
    </row>
    <row r="234" spans="2:14" ht="26" customHeight="1">
      <c r="B234" s="209">
        <v>46082</v>
      </c>
      <c r="C234" s="355">
        <v>46071</v>
      </c>
      <c r="D234" s="12" t="s">
        <v>318</v>
      </c>
      <c r="E234" s="12" t="s">
        <v>146</v>
      </c>
      <c r="F234" s="12" t="s">
        <v>106</v>
      </c>
      <c r="G234" s="12"/>
      <c r="H234" s="181"/>
      <c r="I234" s="181">
        <v>4400</v>
      </c>
      <c r="J234" s="181">
        <f>SUM('Mazda 6 WA13XCV'!B3:B57)</f>
        <v>1158.93</v>
      </c>
      <c r="K234" s="10">
        <f>Table12[[#This Row],[Reconditioning costs]]+Table12[[#This Row],[Price]]</f>
        <v>5558.93</v>
      </c>
      <c r="L234" s="183"/>
      <c r="M234" s="183"/>
      <c r="N234" s="59"/>
    </row>
    <row r="235" spans="2:14" ht="26" customHeight="1">
      <c r="B235" s="210">
        <v>46082</v>
      </c>
      <c r="C235" s="356">
        <v>46073</v>
      </c>
      <c r="D235" s="113" t="s">
        <v>218</v>
      </c>
      <c r="E235" s="113" t="s">
        <v>219</v>
      </c>
      <c r="F235" s="113" t="s">
        <v>113</v>
      </c>
      <c r="G235" s="113"/>
      <c r="H235" s="178"/>
      <c r="I235" s="178">
        <v>6300</v>
      </c>
      <c r="J235" s="178">
        <f>SUM('C Class BJ64 OSE'!B3:B52)</f>
        <v>1208.9100000000001</v>
      </c>
      <c r="K235" s="73">
        <f>Table12[[#This Row],[Reconditioning costs]]+Table12[[#This Row],[Price]]</f>
        <v>7508.91</v>
      </c>
      <c r="L235" s="178">
        <v>10800</v>
      </c>
      <c r="M235" s="73">
        <f>L235-SUM(I235:J235)</f>
        <v>3291.09</v>
      </c>
      <c r="N235" s="331" t="s">
        <v>29</v>
      </c>
    </row>
    <row r="236" spans="2:14" ht="26" customHeight="1">
      <c r="B236" s="209">
        <v>46082</v>
      </c>
      <c r="C236" s="355">
        <v>46073</v>
      </c>
      <c r="D236" s="258" t="s">
        <v>319</v>
      </c>
      <c r="E236" s="258" t="s">
        <v>320</v>
      </c>
      <c r="F236" s="258" t="s">
        <v>129</v>
      </c>
      <c r="G236" s="191" t="s">
        <v>271</v>
      </c>
      <c r="H236" s="181"/>
      <c r="I236" s="181">
        <v>7900</v>
      </c>
      <c r="J236" s="181">
        <f>SUM('Passat PL18 KLM'!B3:B50)</f>
        <v>616.69000000000005</v>
      </c>
      <c r="K236" s="10">
        <f>Table12[[#This Row],[Reconditioning costs]]+Table12[[#This Row],[Price]]</f>
        <v>8516.69</v>
      </c>
      <c r="L236" s="183"/>
      <c r="M236" s="183"/>
      <c r="N236" s="59"/>
    </row>
    <row r="237" spans="2:14" ht="26" customHeight="1">
      <c r="B237" s="210">
        <v>46082</v>
      </c>
      <c r="C237" s="356" t="s">
        <v>214</v>
      </c>
      <c r="D237" s="113" t="s">
        <v>215</v>
      </c>
      <c r="E237" s="113" t="s">
        <v>216</v>
      </c>
      <c r="F237" s="113" t="s">
        <v>110</v>
      </c>
      <c r="G237" s="113"/>
      <c r="H237" s="180"/>
      <c r="I237" s="180">
        <v>4000</v>
      </c>
      <c r="J237" s="180">
        <f>SUM('A6 DN14 WEP'!B3:B49)</f>
        <v>606.41000000000008</v>
      </c>
      <c r="K237" s="73">
        <f>Table12[[#This Row],[Reconditioning costs]]+Table12[[#This Row],[Price]]</f>
        <v>4606.41</v>
      </c>
      <c r="L237" s="178">
        <v>7495</v>
      </c>
      <c r="M237" s="73">
        <f>L237-SUM(I237:J237)</f>
        <v>2888.59</v>
      </c>
      <c r="N237" s="331" t="s">
        <v>29</v>
      </c>
    </row>
    <row r="238" spans="2:14" ht="26" customHeight="1">
      <c r="B238" s="209">
        <v>46082</v>
      </c>
      <c r="C238" s="358">
        <v>46077</v>
      </c>
      <c r="D238" s="59" t="s">
        <v>241</v>
      </c>
      <c r="E238" s="59" t="s">
        <v>242</v>
      </c>
      <c r="F238" s="12" t="s">
        <v>110</v>
      </c>
      <c r="G238" s="59"/>
      <c r="H238" s="27"/>
      <c r="I238" s="183">
        <v>7000</v>
      </c>
      <c r="J238" s="183">
        <f>SUM('Golf R VX16 XJU'!B3:B50)</f>
        <v>491.5</v>
      </c>
      <c r="K238" s="10">
        <f>Table12[[#This Row],[Reconditioning costs]]+Table12[[#This Row],[Price]]</f>
        <v>7491.5</v>
      </c>
      <c r="L238" s="183"/>
      <c r="M238" s="183"/>
      <c r="N238" s="59"/>
    </row>
    <row r="239" spans="2:14" ht="26" customHeight="1">
      <c r="B239" s="210">
        <v>46082</v>
      </c>
      <c r="C239" s="356">
        <v>46077</v>
      </c>
      <c r="D239" s="113" t="s">
        <v>223</v>
      </c>
      <c r="E239" s="113" t="s">
        <v>321</v>
      </c>
      <c r="F239" s="113" t="s">
        <v>322</v>
      </c>
      <c r="G239" s="113"/>
      <c r="H239" s="315"/>
      <c r="I239" s="316">
        <v>4100</v>
      </c>
      <c r="J239" s="316">
        <f>SUM('A5 LJ13 UAC'!B3:B49)</f>
        <v>525.13</v>
      </c>
      <c r="K239" s="317">
        <f>Table12[[#This Row],[Reconditioning costs]]+Table12[[#This Row],[Price]]</f>
        <v>4625.13</v>
      </c>
      <c r="L239" s="178">
        <v>7250</v>
      </c>
      <c r="M239" s="73">
        <f>L239-SUM(I239:J239)</f>
        <v>2624.87</v>
      </c>
      <c r="N239" s="331" t="s">
        <v>29</v>
      </c>
    </row>
    <row r="240" spans="2:14" ht="26" customHeight="1">
      <c r="B240" s="209">
        <v>46082</v>
      </c>
      <c r="C240" s="358">
        <v>46080</v>
      </c>
      <c r="D240" s="59" t="s">
        <v>323</v>
      </c>
      <c r="E240" s="59" t="s">
        <v>324</v>
      </c>
      <c r="F240" s="59" t="s">
        <v>113</v>
      </c>
      <c r="G240" s="59"/>
      <c r="H240" s="27"/>
      <c r="I240" s="183">
        <v>6425</v>
      </c>
      <c r="J240" s="183">
        <f>SUM('Merc C200 HF64 PLZ'!B3:B51)</f>
        <v>664.8</v>
      </c>
      <c r="K240" s="10">
        <f>Table12[[#This Row],[Reconditioning costs]]+Table12[[#This Row],[Price]]</f>
        <v>7089.8</v>
      </c>
      <c r="L240" s="183"/>
      <c r="M240" s="183"/>
      <c r="N240" s="59"/>
    </row>
    <row r="241" spans="2:14" ht="26" customHeight="1">
      <c r="B241" s="209">
        <v>46082</v>
      </c>
      <c r="C241" s="358">
        <v>46080</v>
      </c>
      <c r="D241" s="59" t="s">
        <v>325</v>
      </c>
      <c r="E241" s="59" t="s">
        <v>326</v>
      </c>
      <c r="F241" s="59" t="s">
        <v>113</v>
      </c>
      <c r="G241" s="59"/>
      <c r="H241" s="27"/>
      <c r="I241" s="183">
        <v>6000</v>
      </c>
      <c r="J241" s="183">
        <f>SUM('Q5 KM62 XFN'!B3:B21)</f>
        <v>605.9</v>
      </c>
      <c r="K241" s="10">
        <f>Table12[[#This Row],[Reconditioning costs]]+Table12[[#This Row],[Price]]</f>
        <v>6605.9</v>
      </c>
      <c r="L241" s="183"/>
      <c r="M241" s="183"/>
      <c r="N241" s="59"/>
    </row>
    <row r="242" spans="2:14" ht="26" customHeight="1">
      <c r="B242" s="210">
        <v>46082</v>
      </c>
      <c r="C242" s="356">
        <v>46085</v>
      </c>
      <c r="D242" s="113" t="s">
        <v>232</v>
      </c>
      <c r="E242" s="113" t="s">
        <v>233</v>
      </c>
      <c r="F242" s="113" t="s">
        <v>107</v>
      </c>
      <c r="G242" s="113"/>
      <c r="H242" s="316">
        <v>5500</v>
      </c>
      <c r="I242" s="316">
        <v>3093.24</v>
      </c>
      <c r="J242" s="316">
        <f>SUM('520D SA14 SYO'!B3:B24)</f>
        <v>292.28999999999996</v>
      </c>
      <c r="K242" s="317">
        <f>Table12[[#This Row],[Reconditioning costs]]+Table12[[#This Row],[Price]]</f>
        <v>3385.5299999999997</v>
      </c>
      <c r="L242" s="178">
        <v>7989.29</v>
      </c>
      <c r="M242" s="73">
        <f>L242-SUM(I242:J242)</f>
        <v>4603.76</v>
      </c>
      <c r="N242" s="331" t="s">
        <v>29</v>
      </c>
    </row>
    <row r="243" spans="2:14" ht="26" customHeight="1">
      <c r="B243" s="209">
        <v>46082</v>
      </c>
      <c r="C243" s="358">
        <v>46090</v>
      </c>
      <c r="D243" s="59" t="s">
        <v>327</v>
      </c>
      <c r="E243" s="59" t="s">
        <v>233</v>
      </c>
      <c r="F243" s="59" t="s">
        <v>107</v>
      </c>
      <c r="G243" s="59"/>
      <c r="H243" s="183"/>
      <c r="I243" s="183">
        <v>7100</v>
      </c>
      <c r="J243" s="183">
        <f>SUM('520D YK66 DWU'!B3:B16)</f>
        <v>852.26</v>
      </c>
      <c r="K243" s="10">
        <f>Table12[[#This Row],[Reconditioning costs]]+Table12[[#This Row],[Price]]</f>
        <v>7952.26</v>
      </c>
      <c r="L243" s="183"/>
      <c r="M243" s="183"/>
      <c r="N243" s="59"/>
    </row>
    <row r="244" spans="2:14" ht="26" customHeight="1">
      <c r="B244" s="209">
        <v>46082</v>
      </c>
      <c r="C244" s="358">
        <v>46093</v>
      </c>
      <c r="D244" s="59" t="s">
        <v>328</v>
      </c>
      <c r="E244" s="59" t="s">
        <v>233</v>
      </c>
      <c r="F244" s="59" t="s">
        <v>312</v>
      </c>
      <c r="G244" s="59"/>
      <c r="H244" s="183"/>
      <c r="I244" s="183">
        <v>5300</v>
      </c>
      <c r="J244" s="183">
        <f>SUM('520D CF15 OWA'!B3:B17)</f>
        <v>702.8</v>
      </c>
      <c r="K244" s="10">
        <f>Table12[[#This Row],[Reconditioning costs]]+Table12[[#This Row],[Price]]</f>
        <v>6002.8</v>
      </c>
      <c r="L244" s="183"/>
      <c r="M244" s="183"/>
      <c r="N244" s="59"/>
    </row>
    <row r="245" spans="2:14" ht="26" customHeight="1">
      <c r="B245" s="209">
        <v>46082</v>
      </c>
      <c r="C245" s="358">
        <v>46096</v>
      </c>
      <c r="D245" s="59" t="s">
        <v>329</v>
      </c>
      <c r="E245" s="59" t="s">
        <v>134</v>
      </c>
      <c r="F245" s="59" t="s">
        <v>322</v>
      </c>
      <c r="G245" s="59" t="s">
        <v>285</v>
      </c>
      <c r="H245" s="183"/>
      <c r="I245" s="183">
        <v>4800</v>
      </c>
      <c r="J245" s="183">
        <f>SUM('Audi A4 BG63 VYM'!B3:B11)</f>
        <v>295.15999999999997</v>
      </c>
      <c r="K245" s="183">
        <f>Table12[[#This Row],[Price]]+Table12[[#This Row],[Reconditioning costs]]</f>
        <v>5095.16</v>
      </c>
      <c r="L245" s="183"/>
      <c r="M245" s="183"/>
      <c r="N245" s="59"/>
    </row>
    <row r="246" spans="2:14" ht="26" customHeight="1">
      <c r="B246" s="209">
        <v>46082</v>
      </c>
      <c r="C246" s="358">
        <v>46099</v>
      </c>
      <c r="D246" s="59" t="s">
        <v>251</v>
      </c>
      <c r="E246" s="59" t="s">
        <v>252</v>
      </c>
      <c r="F246" s="59" t="s">
        <v>113</v>
      </c>
      <c r="G246" s="59" t="s">
        <v>297</v>
      </c>
      <c r="H246" s="183"/>
      <c r="I246" s="183">
        <v>7300</v>
      </c>
      <c r="J246" s="183">
        <f>SUM('CLA 220 KU67 PWY'!B3:B17)</f>
        <v>644.27499999999998</v>
      </c>
      <c r="K246" s="183">
        <f>Table12[[#This Row],[Price]]+Table12[[#This Row],[Reconditioning costs]]</f>
        <v>7944.2749999999996</v>
      </c>
      <c r="L246" s="183"/>
      <c r="M246" s="183"/>
      <c r="N246" s="59"/>
    </row>
    <row r="247" spans="2:14" ht="26" customHeight="1">
      <c r="B247" s="209">
        <v>46082</v>
      </c>
      <c r="C247" s="358">
        <v>46099</v>
      </c>
      <c r="D247" s="312" t="s">
        <v>330</v>
      </c>
      <c r="E247" s="312" t="s">
        <v>331</v>
      </c>
      <c r="F247" s="312" t="s">
        <v>110</v>
      </c>
      <c r="G247" s="312"/>
      <c r="H247" s="307"/>
      <c r="I247" s="308">
        <v>5850</v>
      </c>
      <c r="J247" s="308">
        <f>SUM('Mazda 3 FY67 WDE'!B3:B27)</f>
        <v>851.75</v>
      </c>
      <c r="K247" s="183">
        <f>Table12[[#This Row],[Price]]+Table12[[#This Row],[Reconditioning costs]]</f>
        <v>6701.75</v>
      </c>
      <c r="L247" s="308"/>
      <c r="M247" s="307"/>
      <c r="N247" s="329"/>
    </row>
    <row r="248" spans="2:14" ht="26" customHeight="1">
      <c r="B248" s="209">
        <v>46082</v>
      </c>
      <c r="C248" s="358">
        <v>46100</v>
      </c>
      <c r="D248" s="312" t="s">
        <v>230</v>
      </c>
      <c r="E248" s="59" t="s">
        <v>231</v>
      </c>
      <c r="F248" s="59" t="s">
        <v>129</v>
      </c>
      <c r="G248" s="59"/>
      <c r="H248" s="27"/>
      <c r="I248" s="183">
        <v>7725</v>
      </c>
      <c r="J248" s="183">
        <f>SUM('BMW 330E RX67 WPN'!B3:B14)</f>
        <v>521.70000000000005</v>
      </c>
      <c r="K248" s="183">
        <f>Table12[[#This Row],[Price]]+Table12[[#This Row],[Reconditioning costs]]</f>
        <v>8246.7000000000007</v>
      </c>
      <c r="L248" s="309"/>
      <c r="M248" s="310"/>
      <c r="N248" s="59"/>
    </row>
    <row r="249" spans="2:14" ht="26" customHeight="1">
      <c r="B249" s="209">
        <v>46082</v>
      </c>
      <c r="C249" s="358">
        <v>46100</v>
      </c>
      <c r="D249" s="59" t="s">
        <v>247</v>
      </c>
      <c r="E249" s="59" t="s">
        <v>248</v>
      </c>
      <c r="F249" s="12" t="s">
        <v>110</v>
      </c>
      <c r="G249" s="12"/>
      <c r="H249" s="7"/>
      <c r="I249" s="181">
        <v>8000</v>
      </c>
      <c r="J249" s="181">
        <f>SUM('CLA 200 WU66 MJX'!B3:B16)</f>
        <v>558.78</v>
      </c>
      <c r="K249" s="183">
        <f>Table12[[#This Row],[Price]]+Table12[[#This Row],[Reconditioning costs]]</f>
        <v>8558.7800000000007</v>
      </c>
      <c r="L249" s="309"/>
      <c r="M249" s="310"/>
      <c r="N249" s="59"/>
    </row>
    <row r="250" spans="2:14" ht="26" customHeight="1">
      <c r="B250" s="209">
        <v>46082</v>
      </c>
      <c r="C250" s="358">
        <v>46101</v>
      </c>
      <c r="D250" s="332" t="s">
        <v>332</v>
      </c>
      <c r="E250" s="332" t="s">
        <v>333</v>
      </c>
      <c r="F250" s="12" t="s">
        <v>312</v>
      </c>
      <c r="G250" s="12"/>
      <c r="H250" s="7"/>
      <c r="I250" s="181">
        <v>5950</v>
      </c>
      <c r="J250" s="181">
        <f>SUM('Mazda CX3 AY17 YWX'!B3:B17)</f>
        <v>459.99</v>
      </c>
      <c r="K250" s="183">
        <f>Table12[[#This Row],[Price]]+Table12[[#This Row],[Reconditioning costs]]</f>
        <v>6409.99</v>
      </c>
      <c r="L250" s="179"/>
      <c r="M250" s="311"/>
      <c r="N250" s="329"/>
    </row>
    <row r="251" spans="2:14" ht="26" customHeight="1">
      <c r="B251" s="209">
        <v>46082</v>
      </c>
      <c r="C251" s="358">
        <v>46105</v>
      </c>
      <c r="D251" s="59" t="s">
        <v>334</v>
      </c>
      <c r="E251" s="12" t="s">
        <v>335</v>
      </c>
      <c r="F251" s="12" t="s">
        <v>129</v>
      </c>
      <c r="G251" s="12"/>
      <c r="H251" s="12"/>
      <c r="I251" s="191">
        <v>7964</v>
      </c>
      <c r="J251" s="191">
        <f>SUM('Merc C220D SE66 OFZ'!B3:B26)</f>
        <v>1222.0299999999997</v>
      </c>
      <c r="K251" s="183">
        <f>Table12[[#This Row],[Price]]+Table12[[#This Row],[Reconditioning costs]]</f>
        <v>9186.0299999999988</v>
      </c>
      <c r="L251" s="278"/>
      <c r="M251" s="59"/>
      <c r="N251" s="329"/>
    </row>
    <row r="252" spans="2:14" ht="26" customHeight="1">
      <c r="B252" s="209">
        <v>46082</v>
      </c>
      <c r="C252" s="358">
        <v>46105</v>
      </c>
      <c r="D252" s="59"/>
      <c r="E252" s="12" t="s">
        <v>336</v>
      </c>
      <c r="F252" s="12" t="s">
        <v>129</v>
      </c>
      <c r="G252" s="12"/>
      <c r="H252" s="12"/>
      <c r="I252" s="191">
        <v>8231.69</v>
      </c>
      <c r="J252" s="191">
        <f>SUM('LY18 ZDV A200D'!B3:B27)</f>
        <v>100.62</v>
      </c>
      <c r="K252" s="183">
        <f>Table12[[#This Row],[Price]]+Table12[[#This Row],[Reconditioning costs]]</f>
        <v>8332.3100000000013</v>
      </c>
      <c r="L252" s="278"/>
      <c r="M252" s="59"/>
      <c r="N252" s="329"/>
    </row>
    <row r="253" spans="2:14" ht="26" customHeight="1">
      <c r="B253" s="209">
        <v>46082</v>
      </c>
      <c r="C253" s="358">
        <v>46106</v>
      </c>
      <c r="D253" s="312" t="s">
        <v>337</v>
      </c>
      <c r="E253" s="59" t="s">
        <v>338</v>
      </c>
      <c r="F253" s="59" t="s">
        <v>107</v>
      </c>
      <c r="G253" s="59"/>
      <c r="H253" s="59"/>
      <c r="I253" s="278">
        <v>5400</v>
      </c>
      <c r="J253" s="278">
        <f>SUM('Kuga EJ68 WVM'!B3:B32)</f>
        <v>1054.8</v>
      </c>
      <c r="K253" s="183">
        <f>Table12[[#This Row],[Price]]+Table12[[#This Row],[Reconditioning costs]]</f>
        <v>6454.8</v>
      </c>
      <c r="L253" s="278"/>
      <c r="M253" s="59"/>
      <c r="N253" s="329"/>
    </row>
    <row r="254" spans="2:14" ht="26" customHeight="1">
      <c r="B254" s="209">
        <v>46082</v>
      </c>
      <c r="C254" s="358">
        <v>46106</v>
      </c>
      <c r="D254" s="59" t="s">
        <v>339</v>
      </c>
      <c r="E254" s="59" t="s">
        <v>340</v>
      </c>
      <c r="F254" s="59" t="s">
        <v>107</v>
      </c>
      <c r="G254" s="59"/>
      <c r="H254" s="59"/>
      <c r="I254" s="278">
        <v>5700</v>
      </c>
      <c r="J254" s="278">
        <f>SUM('Smart X65 YJL'!B3:B28)</f>
        <v>494.8</v>
      </c>
      <c r="K254" s="183">
        <f>Table12[[#This Row],[Price]]+Table12[[#This Row],[Reconditioning costs]]</f>
        <v>6194.8</v>
      </c>
      <c r="L254" s="278"/>
      <c r="M254" s="59"/>
      <c r="N254" s="337"/>
    </row>
    <row r="255" spans="2:14" ht="29" customHeight="1">
      <c r="B255" s="231">
        <v>46082</v>
      </c>
      <c r="C255" s="366"/>
      <c r="D255" s="232"/>
      <c r="E255" s="233"/>
      <c r="F255" s="233"/>
      <c r="G255" s="233"/>
      <c r="H255" s="233"/>
      <c r="I255" s="234"/>
      <c r="J255" s="234"/>
      <c r="K255" s="234"/>
      <c r="L255" s="234"/>
      <c r="M255" s="233"/>
      <c r="N255" s="346"/>
    </row>
    <row r="256" spans="2:14" ht="36" customHeight="1">
      <c r="B256" s="210">
        <v>46113</v>
      </c>
      <c r="C256" s="356">
        <v>45989</v>
      </c>
      <c r="D256" s="112" t="s">
        <v>238</v>
      </c>
      <c r="E256" s="112" t="s">
        <v>239</v>
      </c>
      <c r="F256" s="112" t="s">
        <v>107</v>
      </c>
      <c r="G256" s="113" t="s">
        <v>279</v>
      </c>
      <c r="H256" s="316"/>
      <c r="I256" s="316">
        <v>3200</v>
      </c>
      <c r="J256" s="316">
        <f>SUM('Polo MF14 TUH'!B3:B50)</f>
        <v>1701.89</v>
      </c>
      <c r="K256" s="316">
        <f t="shared" ref="K256:K290" si="11">SUM(I256:J256)</f>
        <v>4901.8900000000003</v>
      </c>
      <c r="L256" s="316">
        <v>5695</v>
      </c>
      <c r="M256" s="73">
        <f>L256-SUM(I256:J256)</f>
        <v>793.10999999999967</v>
      </c>
      <c r="N256" s="113" t="s">
        <v>29</v>
      </c>
    </row>
    <row r="257" spans="2:14" ht="26" customHeight="1">
      <c r="B257" s="236">
        <v>46113</v>
      </c>
      <c r="C257" s="355">
        <v>46003</v>
      </c>
      <c r="D257" s="12" t="s">
        <v>304</v>
      </c>
      <c r="E257" s="12" t="s">
        <v>305</v>
      </c>
      <c r="F257" s="12" t="s">
        <v>125</v>
      </c>
      <c r="G257" s="12" t="s">
        <v>297</v>
      </c>
      <c r="H257" s="181"/>
      <c r="I257" s="181">
        <v>5000</v>
      </c>
      <c r="J257" s="181">
        <f>SUM('Audi A7 OV61 WKH'!B3:B50)</f>
        <v>2573.46</v>
      </c>
      <c r="K257" s="183">
        <f t="shared" si="11"/>
        <v>7573.46</v>
      </c>
      <c r="L257" s="183"/>
      <c r="M257" s="183"/>
      <c r="N257" s="59" t="s">
        <v>341</v>
      </c>
    </row>
    <row r="258" spans="2:14" ht="26" customHeight="1">
      <c r="B258" s="236">
        <v>46113</v>
      </c>
      <c r="C258" s="361">
        <v>46032</v>
      </c>
      <c r="D258" s="142" t="s">
        <v>306</v>
      </c>
      <c r="E258" s="142" t="s">
        <v>307</v>
      </c>
      <c r="F258" s="142" t="s">
        <v>107</v>
      </c>
      <c r="G258" s="142" t="s">
        <v>279</v>
      </c>
      <c r="H258" s="304"/>
      <c r="I258" s="303">
        <v>4950</v>
      </c>
      <c r="J258" s="303">
        <f>SUM('Suzuki Swift YB68 XYT'!B3:B50)</f>
        <v>424.73</v>
      </c>
      <c r="K258" s="183">
        <f t="shared" si="11"/>
        <v>5374.73</v>
      </c>
      <c r="L258" s="183"/>
      <c r="M258" s="183"/>
      <c r="N258" s="59" t="s">
        <v>342</v>
      </c>
    </row>
    <row r="259" spans="2:14" ht="26" customHeight="1">
      <c r="B259" s="236">
        <v>46113</v>
      </c>
      <c r="C259" s="363">
        <v>46033</v>
      </c>
      <c r="D259" s="142" t="s">
        <v>308</v>
      </c>
      <c r="E259" s="204" t="s">
        <v>309</v>
      </c>
      <c r="F259" s="204" t="s">
        <v>125</v>
      </c>
      <c r="G259" s="142" t="s">
        <v>297</v>
      </c>
      <c r="H259" s="305"/>
      <c r="I259" s="306">
        <v>5665.88</v>
      </c>
      <c r="J259" s="306">
        <f>SUM('BMW 120D PE65 LXZ'!B3:B50)</f>
        <v>862.84999999999991</v>
      </c>
      <c r="K259" s="183">
        <f t="shared" si="11"/>
        <v>6528.73</v>
      </c>
      <c r="L259" s="183"/>
      <c r="M259" s="183"/>
      <c r="N259" s="59"/>
    </row>
    <row r="260" spans="2:14" ht="26" customHeight="1">
      <c r="B260" s="236">
        <v>46113</v>
      </c>
      <c r="C260" s="355">
        <v>46051</v>
      </c>
      <c r="D260" s="12" t="s">
        <v>310</v>
      </c>
      <c r="E260" s="12" t="s">
        <v>311</v>
      </c>
      <c r="F260" s="12" t="s">
        <v>107</v>
      </c>
      <c r="G260" s="142" t="s">
        <v>279</v>
      </c>
      <c r="H260" s="179"/>
      <c r="I260" s="181">
        <v>3850</v>
      </c>
      <c r="J260" s="181">
        <f>SUM('BMW 328i YB61'!B3:B50)</f>
        <v>2836.6800000000003</v>
      </c>
      <c r="K260" s="183">
        <f t="shared" si="11"/>
        <v>6686.68</v>
      </c>
      <c r="L260" s="183"/>
      <c r="M260" s="183"/>
      <c r="N260" s="59" t="s">
        <v>343</v>
      </c>
    </row>
    <row r="261" spans="2:14" ht="26" customHeight="1">
      <c r="B261" s="210">
        <v>46113</v>
      </c>
      <c r="C261" s="356">
        <v>46054</v>
      </c>
      <c r="D261" s="174" t="s">
        <v>254</v>
      </c>
      <c r="E261" s="174" t="s">
        <v>255</v>
      </c>
      <c r="F261" s="174" t="s">
        <v>107</v>
      </c>
      <c r="G261" s="174" t="s">
        <v>313</v>
      </c>
      <c r="H261" s="316">
        <v>4000</v>
      </c>
      <c r="I261" s="379"/>
      <c r="J261" s="316">
        <f>SUM('Fabia GN66 YWZ PX'!B3:B50)</f>
        <v>122.46000000000001</v>
      </c>
      <c r="K261" s="316">
        <f t="shared" si="11"/>
        <v>122.46000000000001</v>
      </c>
      <c r="L261" s="316">
        <v>6495</v>
      </c>
      <c r="M261" s="73">
        <f>L261-SUM(I261:J261)</f>
        <v>6372.54</v>
      </c>
      <c r="N261" s="113" t="s">
        <v>29</v>
      </c>
    </row>
    <row r="262" spans="2:14" ht="26" customHeight="1">
      <c r="B262" s="236">
        <v>46113</v>
      </c>
      <c r="C262" s="355">
        <v>46060</v>
      </c>
      <c r="D262" s="173" t="s">
        <v>314</v>
      </c>
      <c r="E262" s="173" t="s">
        <v>315</v>
      </c>
      <c r="F262" s="173" t="s">
        <v>113</v>
      </c>
      <c r="G262" s="173"/>
      <c r="H262" s="295"/>
      <c r="I262" s="181">
        <v>5700</v>
      </c>
      <c r="J262" s="181">
        <f>SUM('BMW 318D S88 RDF'!B3:B50)</f>
        <v>1043.575</v>
      </c>
      <c r="K262" s="183">
        <f t="shared" si="11"/>
        <v>6743.5749999999998</v>
      </c>
      <c r="L262" s="183"/>
      <c r="M262" s="183"/>
      <c r="N262" s="59" t="s">
        <v>344</v>
      </c>
    </row>
    <row r="263" spans="2:14" ht="26" customHeight="1">
      <c r="B263" s="236">
        <v>46113</v>
      </c>
      <c r="C263" s="355">
        <v>46060</v>
      </c>
      <c r="D263" s="173" t="s">
        <v>316</v>
      </c>
      <c r="E263" s="173" t="s">
        <v>180</v>
      </c>
      <c r="F263" s="173" t="s">
        <v>113</v>
      </c>
      <c r="G263" s="173"/>
      <c r="H263" s="295"/>
      <c r="I263" s="181">
        <v>5500</v>
      </c>
      <c r="J263" s="181">
        <f>SUM('P2008 LS66 SVA'!B3:B50)</f>
        <v>592.52</v>
      </c>
      <c r="K263" s="183">
        <f t="shared" si="11"/>
        <v>6092.52</v>
      </c>
      <c r="L263" s="183"/>
      <c r="M263" s="183"/>
      <c r="N263" s="59" t="s">
        <v>345</v>
      </c>
    </row>
    <row r="264" spans="2:14" ht="26" customHeight="1">
      <c r="B264" s="210">
        <v>46113</v>
      </c>
      <c r="C264" s="356">
        <v>46067</v>
      </c>
      <c r="D264" s="113" t="s">
        <v>249</v>
      </c>
      <c r="E264" s="113" t="s">
        <v>70</v>
      </c>
      <c r="F264" s="113" t="s">
        <v>107</v>
      </c>
      <c r="G264" s="113" t="s">
        <v>313</v>
      </c>
      <c r="H264" s="316">
        <v>2800</v>
      </c>
      <c r="I264" s="316"/>
      <c r="J264" s="316">
        <f>SUM('Fiesta FN62HKO'!B3:B50)</f>
        <v>240.07999999999998</v>
      </c>
      <c r="K264" s="316">
        <f t="shared" si="11"/>
        <v>240.07999999999998</v>
      </c>
      <c r="L264" s="316">
        <v>5295</v>
      </c>
      <c r="M264" s="73">
        <f>L264-SUM(I264:J264)</f>
        <v>5054.92</v>
      </c>
      <c r="N264" s="113" t="s">
        <v>29</v>
      </c>
    </row>
    <row r="265" spans="2:14" ht="26" customHeight="1">
      <c r="B265" s="210">
        <v>46113</v>
      </c>
      <c r="C265" s="356">
        <v>46071</v>
      </c>
      <c r="D265" s="113" t="s">
        <v>244</v>
      </c>
      <c r="E265" s="113" t="s">
        <v>245</v>
      </c>
      <c r="F265" s="113" t="s">
        <v>107</v>
      </c>
      <c r="G265" s="113"/>
      <c r="H265" s="316"/>
      <c r="I265" s="316">
        <v>6400</v>
      </c>
      <c r="J265" s="316">
        <f>SUM('GOLF RJ14 YZN'!B3:B50)</f>
        <v>593.21999999999991</v>
      </c>
      <c r="K265" s="316">
        <f t="shared" si="11"/>
        <v>6993.22</v>
      </c>
      <c r="L265" s="316">
        <v>8400</v>
      </c>
      <c r="M265" s="73">
        <f>L265-SUM(I265:J265)</f>
        <v>1406.7799999999997</v>
      </c>
      <c r="N265" s="113" t="s">
        <v>29</v>
      </c>
    </row>
    <row r="266" spans="2:14" ht="26" customHeight="1">
      <c r="B266" s="236">
        <v>46113</v>
      </c>
      <c r="C266" s="355">
        <v>46071</v>
      </c>
      <c r="D266" s="142" t="s">
        <v>317</v>
      </c>
      <c r="E266" s="142" t="s">
        <v>229</v>
      </c>
      <c r="F266" s="142" t="s">
        <v>107</v>
      </c>
      <c r="G266" s="142"/>
      <c r="H266" s="303"/>
      <c r="I266" s="303">
        <v>4150</v>
      </c>
      <c r="J266" s="181">
        <f>SUM('POLO GTI BK61 SWZ'!B3:B50)</f>
        <v>629.49</v>
      </c>
      <c r="K266" s="183">
        <f t="shared" si="11"/>
        <v>4779.49</v>
      </c>
      <c r="L266" s="183"/>
      <c r="M266" s="183"/>
      <c r="N266" s="59" t="s">
        <v>345</v>
      </c>
    </row>
    <row r="267" spans="2:14" ht="26" customHeight="1">
      <c r="B267" s="236">
        <v>46113</v>
      </c>
      <c r="C267" s="355">
        <v>46071</v>
      </c>
      <c r="D267" s="12" t="s">
        <v>318</v>
      </c>
      <c r="E267" s="12" t="s">
        <v>146</v>
      </c>
      <c r="F267" s="12" t="s">
        <v>106</v>
      </c>
      <c r="G267" s="12"/>
      <c r="H267" s="181"/>
      <c r="I267" s="181">
        <v>4400</v>
      </c>
      <c r="J267" s="181">
        <f>SUM('Mazda 6 WA13XCV'!B3:B50)</f>
        <v>1158.93</v>
      </c>
      <c r="K267" s="183">
        <f t="shared" si="11"/>
        <v>5558.93</v>
      </c>
      <c r="L267" s="183"/>
      <c r="M267" s="183"/>
      <c r="N267" s="59" t="s">
        <v>345</v>
      </c>
    </row>
    <row r="268" spans="2:14" ht="26" customHeight="1">
      <c r="B268" s="236">
        <v>46113</v>
      </c>
      <c r="C268" s="355">
        <v>46073</v>
      </c>
      <c r="D268" s="258" t="s">
        <v>319</v>
      </c>
      <c r="E268" s="258" t="s">
        <v>320</v>
      </c>
      <c r="F268" s="258" t="s">
        <v>129</v>
      </c>
      <c r="G268" s="191" t="s">
        <v>271</v>
      </c>
      <c r="H268" s="181"/>
      <c r="I268" s="181">
        <v>7900</v>
      </c>
      <c r="J268" s="181">
        <f>SUM('Passat PL18 KLM'!B3:B50)</f>
        <v>616.69000000000005</v>
      </c>
      <c r="K268" s="183">
        <f t="shared" si="11"/>
        <v>8516.69</v>
      </c>
      <c r="L268" s="183"/>
      <c r="M268" s="183"/>
      <c r="N268" s="59" t="s">
        <v>346</v>
      </c>
    </row>
    <row r="269" spans="2:14" ht="26" customHeight="1">
      <c r="B269" s="210">
        <v>46113</v>
      </c>
      <c r="C269" s="356">
        <v>46077</v>
      </c>
      <c r="D269" s="113" t="s">
        <v>241</v>
      </c>
      <c r="E269" s="113" t="s">
        <v>242</v>
      </c>
      <c r="F269" s="113" t="s">
        <v>110</v>
      </c>
      <c r="G269" s="113"/>
      <c r="H269" s="315"/>
      <c r="I269" s="316">
        <v>7000</v>
      </c>
      <c r="J269" s="316">
        <f>SUM('Golf R VX16 XJU'!B3:B50)</f>
        <v>491.5</v>
      </c>
      <c r="K269" s="316">
        <f t="shared" si="11"/>
        <v>7491.5</v>
      </c>
      <c r="L269" s="316">
        <v>9971</v>
      </c>
      <c r="M269" s="73">
        <f>L269-SUM(I269:J269)</f>
        <v>2479.5</v>
      </c>
      <c r="N269" s="113" t="s">
        <v>29</v>
      </c>
    </row>
    <row r="270" spans="2:14" ht="26" customHeight="1">
      <c r="B270" s="236">
        <v>46113</v>
      </c>
      <c r="C270" s="358">
        <v>46080</v>
      </c>
      <c r="D270" s="59" t="s">
        <v>323</v>
      </c>
      <c r="E270" s="59" t="s">
        <v>324</v>
      </c>
      <c r="F270" s="59" t="s">
        <v>113</v>
      </c>
      <c r="G270" s="59"/>
      <c r="H270" s="27"/>
      <c r="I270" s="183">
        <v>6425</v>
      </c>
      <c r="J270" s="183">
        <f>SUM('Merc C200 HF64 PLZ'!B3:B50)</f>
        <v>664.8</v>
      </c>
      <c r="K270" s="183">
        <f t="shared" si="11"/>
        <v>7089.8</v>
      </c>
      <c r="L270" s="183"/>
      <c r="M270" s="183"/>
      <c r="N270" s="59" t="s">
        <v>345</v>
      </c>
    </row>
    <row r="271" spans="2:14" ht="26" customHeight="1">
      <c r="B271" s="236">
        <v>46113</v>
      </c>
      <c r="C271" s="358">
        <v>46080</v>
      </c>
      <c r="D271" s="59" t="s">
        <v>325</v>
      </c>
      <c r="E271" s="59" t="s">
        <v>326</v>
      </c>
      <c r="F271" s="59" t="s">
        <v>113</v>
      </c>
      <c r="G271" s="59"/>
      <c r="H271" s="27"/>
      <c r="I271" s="183">
        <v>6000</v>
      </c>
      <c r="J271" s="183">
        <f>SUM('Q5 KM62 XFN'!B3:B50)</f>
        <v>605.9</v>
      </c>
      <c r="K271" s="183">
        <f t="shared" si="11"/>
        <v>6605.9</v>
      </c>
      <c r="L271" s="183"/>
      <c r="M271" s="183"/>
      <c r="N271" s="59" t="s">
        <v>345</v>
      </c>
    </row>
    <row r="272" spans="2:14" ht="26" customHeight="1">
      <c r="B272" s="236">
        <v>46113</v>
      </c>
      <c r="C272" s="358">
        <v>46090</v>
      </c>
      <c r="D272" s="59" t="s">
        <v>327</v>
      </c>
      <c r="E272" s="59" t="s">
        <v>233</v>
      </c>
      <c r="F272" s="59" t="s">
        <v>107</v>
      </c>
      <c r="G272" s="59"/>
      <c r="H272" s="183"/>
      <c r="I272" s="183">
        <v>7100</v>
      </c>
      <c r="J272" s="183">
        <f>SUM('520D YK66 DWU'!B3:B50)</f>
        <v>852.26</v>
      </c>
      <c r="K272" s="183">
        <f t="shared" si="11"/>
        <v>7952.26</v>
      </c>
      <c r="L272" s="183"/>
      <c r="M272" s="183"/>
      <c r="N272" s="59" t="s">
        <v>345</v>
      </c>
    </row>
    <row r="273" spans="2:14" ht="26" customHeight="1">
      <c r="B273" s="236">
        <v>46113</v>
      </c>
      <c r="C273" s="358">
        <v>46093</v>
      </c>
      <c r="D273" s="59" t="s">
        <v>328</v>
      </c>
      <c r="E273" s="59" t="s">
        <v>233</v>
      </c>
      <c r="F273" s="59" t="s">
        <v>312</v>
      </c>
      <c r="G273" s="59"/>
      <c r="H273" s="183"/>
      <c r="I273" s="183">
        <v>5300</v>
      </c>
      <c r="J273" s="183">
        <f>SUM('520D CF15 OWA'!B3:B50)</f>
        <v>702.8</v>
      </c>
      <c r="K273" s="183">
        <f t="shared" si="11"/>
        <v>6002.8</v>
      </c>
      <c r="L273" s="183"/>
      <c r="M273" s="183"/>
      <c r="N273" s="59" t="s">
        <v>347</v>
      </c>
    </row>
    <row r="274" spans="2:14" ht="26" customHeight="1">
      <c r="B274" s="236">
        <v>46113</v>
      </c>
      <c r="C274" s="358">
        <v>46096</v>
      </c>
      <c r="D274" s="59" t="s">
        <v>329</v>
      </c>
      <c r="E274" s="59" t="s">
        <v>134</v>
      </c>
      <c r="F274" s="59" t="s">
        <v>322</v>
      </c>
      <c r="G274" s="59" t="s">
        <v>285</v>
      </c>
      <c r="H274" s="183"/>
      <c r="I274" s="183">
        <v>4800</v>
      </c>
      <c r="J274" s="183">
        <f>SUM('Audi A4 BG63 VYM'!B3:B50)</f>
        <v>295.15999999999997</v>
      </c>
      <c r="K274" s="183">
        <f t="shared" si="11"/>
        <v>5095.16</v>
      </c>
      <c r="L274" s="183"/>
      <c r="M274" s="183"/>
      <c r="N274" s="59" t="s">
        <v>348</v>
      </c>
    </row>
    <row r="275" spans="2:14" ht="26" customHeight="1">
      <c r="B275" s="210">
        <v>46113</v>
      </c>
      <c r="C275" s="356">
        <v>46099</v>
      </c>
      <c r="D275" s="113" t="s">
        <v>251</v>
      </c>
      <c r="E275" s="113" t="s">
        <v>252</v>
      </c>
      <c r="F275" s="113" t="s">
        <v>113</v>
      </c>
      <c r="G275" s="113" t="s">
        <v>297</v>
      </c>
      <c r="H275" s="316"/>
      <c r="I275" s="316">
        <v>7300</v>
      </c>
      <c r="J275" s="316">
        <f>SUM('CLA 220 KU67 PWY'!B3:B50)</f>
        <v>644.27499999999998</v>
      </c>
      <c r="K275" s="316">
        <f t="shared" si="11"/>
        <v>7944.2749999999996</v>
      </c>
      <c r="L275" s="316">
        <v>10250</v>
      </c>
      <c r="M275" s="73">
        <f>L275-SUM(I275:J275)</f>
        <v>2305.7250000000004</v>
      </c>
      <c r="N275" s="113" t="s">
        <v>29</v>
      </c>
    </row>
    <row r="276" spans="2:14" ht="26" customHeight="1">
      <c r="B276" s="236">
        <v>46113</v>
      </c>
      <c r="C276" s="358">
        <v>46099</v>
      </c>
      <c r="D276" s="312" t="s">
        <v>330</v>
      </c>
      <c r="E276" s="312" t="s">
        <v>331</v>
      </c>
      <c r="F276" s="312" t="s">
        <v>110</v>
      </c>
      <c r="G276" s="312"/>
      <c r="H276" s="307"/>
      <c r="I276" s="308">
        <v>5850</v>
      </c>
      <c r="J276" s="308">
        <f>SUM('Mazda 3 FY67 WDE'!B3:B50)</f>
        <v>851.75</v>
      </c>
      <c r="K276" s="183">
        <f t="shared" si="11"/>
        <v>6701.75</v>
      </c>
      <c r="L276" s="308"/>
      <c r="M276" s="307"/>
      <c r="N276" s="312" t="s">
        <v>345</v>
      </c>
    </row>
    <row r="277" spans="2:14" ht="26" customHeight="1">
      <c r="B277" s="210">
        <v>46113</v>
      </c>
      <c r="C277" s="356">
        <v>46100</v>
      </c>
      <c r="D277" s="113" t="s">
        <v>247</v>
      </c>
      <c r="E277" s="113" t="s">
        <v>248</v>
      </c>
      <c r="F277" s="113" t="s">
        <v>110</v>
      </c>
      <c r="G277" s="113"/>
      <c r="H277" s="315"/>
      <c r="I277" s="316">
        <v>8000</v>
      </c>
      <c r="J277" s="316">
        <f>SUM('CLA 200 WU66 MJX'!B3:B50)</f>
        <v>558.78</v>
      </c>
      <c r="K277" s="316">
        <f t="shared" si="11"/>
        <v>8558.7800000000007</v>
      </c>
      <c r="L277" s="316">
        <v>12050</v>
      </c>
      <c r="M277" s="73">
        <f>L277-SUM(I277:J277)</f>
        <v>3491.2199999999993</v>
      </c>
      <c r="N277" s="113" t="s">
        <v>29</v>
      </c>
    </row>
    <row r="278" spans="2:14" ht="26" customHeight="1">
      <c r="B278" s="236">
        <v>46113</v>
      </c>
      <c r="C278" s="358">
        <v>46101</v>
      </c>
      <c r="D278" s="339" t="s">
        <v>332</v>
      </c>
      <c r="E278" s="332" t="s">
        <v>333</v>
      </c>
      <c r="F278" s="12" t="s">
        <v>312</v>
      </c>
      <c r="G278" s="12"/>
      <c r="H278" s="7"/>
      <c r="I278" s="181">
        <v>5950</v>
      </c>
      <c r="J278" s="181">
        <f>SUM('Mazda CX3 AY17 YWX'!B3:B50)</f>
        <v>459.99</v>
      </c>
      <c r="K278" s="183">
        <f t="shared" si="11"/>
        <v>6409.99</v>
      </c>
      <c r="L278" s="179"/>
      <c r="M278" s="311"/>
      <c r="N278" s="312" t="s">
        <v>349</v>
      </c>
    </row>
    <row r="279" spans="2:14" ht="26" customHeight="1">
      <c r="B279" s="236">
        <v>46113</v>
      </c>
      <c r="C279" s="358">
        <v>46105</v>
      </c>
      <c r="D279" s="59" t="s">
        <v>334</v>
      </c>
      <c r="E279" s="12" t="s">
        <v>335</v>
      </c>
      <c r="F279" s="12" t="s">
        <v>129</v>
      </c>
      <c r="G279" s="12"/>
      <c r="H279" s="12"/>
      <c r="I279" s="191">
        <v>7964</v>
      </c>
      <c r="J279" s="191">
        <f>SUM('Merc C220D SE66 OFZ'!B3:B50)</f>
        <v>1222.0299999999997</v>
      </c>
      <c r="K279" s="183">
        <f t="shared" si="11"/>
        <v>9186.0299999999988</v>
      </c>
      <c r="L279" s="278"/>
      <c r="M279" s="59"/>
      <c r="N279" s="312" t="s">
        <v>350</v>
      </c>
    </row>
    <row r="280" spans="2:14" ht="26" customHeight="1">
      <c r="B280" s="236">
        <v>46113</v>
      </c>
      <c r="C280" s="358">
        <v>46105</v>
      </c>
      <c r="D280" s="59" t="s">
        <v>351</v>
      </c>
      <c r="E280" s="12" t="s">
        <v>352</v>
      </c>
      <c r="F280" s="12" t="s">
        <v>107</v>
      </c>
      <c r="G280" s="12"/>
      <c r="H280" s="12"/>
      <c r="I280" s="191">
        <v>8231.69</v>
      </c>
      <c r="J280" s="191">
        <f>SUM('LY18 ZDV A200D'!B3:B50)</f>
        <v>100.62</v>
      </c>
      <c r="K280" s="183">
        <f t="shared" si="11"/>
        <v>8332.3100000000013</v>
      </c>
      <c r="L280" s="278"/>
      <c r="M280" s="59"/>
      <c r="N280" s="59" t="s">
        <v>353</v>
      </c>
    </row>
    <row r="281" spans="2:14" ht="26" customHeight="1">
      <c r="B281" s="236">
        <v>46113</v>
      </c>
      <c r="C281" s="358">
        <v>46106</v>
      </c>
      <c r="D281" s="312" t="s">
        <v>337</v>
      </c>
      <c r="E281" s="59" t="s">
        <v>338</v>
      </c>
      <c r="F281" s="59" t="s">
        <v>107</v>
      </c>
      <c r="G281" s="59"/>
      <c r="H281" s="59"/>
      <c r="I281" s="278">
        <v>5400</v>
      </c>
      <c r="J281" s="278">
        <f>SUM('Kuga EJ68 WVM'!B3:B50)</f>
        <v>1054.8</v>
      </c>
      <c r="K281" s="183">
        <f t="shared" si="11"/>
        <v>6454.8</v>
      </c>
      <c r="L281" s="278"/>
      <c r="M281" s="59"/>
      <c r="N281" s="59" t="s">
        <v>354</v>
      </c>
    </row>
    <row r="282" spans="2:14" ht="26" customHeight="1">
      <c r="B282" s="236">
        <v>46113</v>
      </c>
      <c r="C282" s="358">
        <v>46106</v>
      </c>
      <c r="D282" s="59" t="s">
        <v>339</v>
      </c>
      <c r="E282" s="59" t="s">
        <v>340</v>
      </c>
      <c r="F282" s="59" t="s">
        <v>107</v>
      </c>
      <c r="G282" s="59"/>
      <c r="H282" s="59"/>
      <c r="I282" s="278">
        <v>5700</v>
      </c>
      <c r="J282" s="278">
        <f>SUM('Smart X65 YJL'!B3:B50)</f>
        <v>494.8</v>
      </c>
      <c r="K282" s="183">
        <f t="shared" si="11"/>
        <v>6194.8</v>
      </c>
      <c r="L282" s="278"/>
      <c r="M282" s="59"/>
      <c r="N282" s="59" t="s">
        <v>345</v>
      </c>
    </row>
    <row r="283" spans="2:14" ht="26" customHeight="1">
      <c r="B283" s="236">
        <v>46113</v>
      </c>
      <c r="C283" s="358">
        <v>46112</v>
      </c>
      <c r="D283" s="59" t="s">
        <v>355</v>
      </c>
      <c r="E283" s="59" t="s">
        <v>356</v>
      </c>
      <c r="F283" s="59" t="s">
        <v>107</v>
      </c>
      <c r="G283" s="59"/>
      <c r="H283" s="59"/>
      <c r="I283" s="278">
        <v>6500</v>
      </c>
      <c r="J283" s="278">
        <f>SUM('CLA Estate YR16 XCB'!B3:B50)</f>
        <v>981.42499999999995</v>
      </c>
      <c r="K283" s="183">
        <f t="shared" si="11"/>
        <v>7481.4250000000002</v>
      </c>
      <c r="L283" s="59"/>
      <c r="M283" s="59"/>
      <c r="N283" s="59" t="s">
        <v>357</v>
      </c>
    </row>
    <row r="284" spans="2:14" ht="26" customHeight="1">
      <c r="B284" s="236">
        <v>46113</v>
      </c>
      <c r="C284" s="358">
        <v>46112</v>
      </c>
      <c r="D284" s="59" t="s">
        <v>358</v>
      </c>
      <c r="E284" s="59" t="s">
        <v>359</v>
      </c>
      <c r="F284" s="59" t="s">
        <v>107</v>
      </c>
      <c r="G284" s="59"/>
      <c r="H284" s="59"/>
      <c r="I284" s="278">
        <v>5950</v>
      </c>
      <c r="J284" s="278">
        <f>SUM('Audi A6 VE16 TNO'!B3:B50)</f>
        <v>770.09499999999991</v>
      </c>
      <c r="K284" s="183">
        <f t="shared" si="11"/>
        <v>6720.0950000000003</v>
      </c>
      <c r="L284" s="59"/>
      <c r="M284" s="59"/>
      <c r="N284" s="59" t="s">
        <v>360</v>
      </c>
    </row>
    <row r="285" spans="2:14" ht="26" customHeight="1">
      <c r="B285" s="236">
        <v>46113</v>
      </c>
      <c r="C285" s="355">
        <v>46116</v>
      </c>
      <c r="D285" s="12" t="s">
        <v>361</v>
      </c>
      <c r="E285" s="5" t="s">
        <v>362</v>
      </c>
      <c r="F285" s="5" t="s">
        <v>322</v>
      </c>
      <c r="G285" s="5"/>
      <c r="H285" s="5"/>
      <c r="I285" s="186">
        <v>7000</v>
      </c>
      <c r="J285" s="186">
        <f>SUM('A6 Allroad DL15 WDA '!B3:B39)</f>
        <v>632.6</v>
      </c>
      <c r="K285" s="183">
        <f t="shared" si="11"/>
        <v>7632.6</v>
      </c>
      <c r="L285" s="186"/>
      <c r="M285" s="5"/>
      <c r="N285" s="37" t="s">
        <v>363</v>
      </c>
    </row>
    <row r="286" spans="2:14" ht="26" customHeight="1">
      <c r="B286" s="236">
        <v>46113</v>
      </c>
      <c r="C286" s="355">
        <v>46116</v>
      </c>
      <c r="D286" s="12" t="s">
        <v>364</v>
      </c>
      <c r="E286" s="5" t="s">
        <v>365</v>
      </c>
      <c r="F286" s="5" t="s">
        <v>113</v>
      </c>
      <c r="G286" s="5"/>
      <c r="H286" s="5"/>
      <c r="I286" s="186">
        <v>6000</v>
      </c>
      <c r="J286" s="186">
        <f>SUM('A3 E-Tron KM64 XCX'!B3:B19)</f>
        <v>861.48</v>
      </c>
      <c r="K286" s="183">
        <f t="shared" si="11"/>
        <v>6861.48</v>
      </c>
      <c r="L286" s="186"/>
      <c r="M286" s="5"/>
      <c r="N286" s="37" t="s">
        <v>366</v>
      </c>
    </row>
    <row r="287" spans="2:14" ht="26" customHeight="1">
      <c r="B287" s="236">
        <v>46113</v>
      </c>
      <c r="C287" s="355">
        <v>46117</v>
      </c>
      <c r="D287" s="59" t="s">
        <v>367</v>
      </c>
      <c r="E287" s="59" t="s">
        <v>368</v>
      </c>
      <c r="F287" s="59" t="s">
        <v>107</v>
      </c>
      <c r="G287" s="5"/>
      <c r="H287" s="5"/>
      <c r="I287" s="186">
        <v>4900</v>
      </c>
      <c r="J287" s="186">
        <f>SUM('A6 YY62 XJW'!B3:B21)</f>
        <v>432.8</v>
      </c>
      <c r="K287" s="183">
        <f t="shared" si="11"/>
        <v>5332.8</v>
      </c>
      <c r="L287" s="186"/>
      <c r="M287" s="5"/>
      <c r="N287" s="16"/>
    </row>
    <row r="288" spans="2:14" ht="26" customHeight="1">
      <c r="B288" s="236">
        <v>46113</v>
      </c>
      <c r="C288" s="355">
        <v>46119</v>
      </c>
      <c r="D288" s="12" t="s">
        <v>369</v>
      </c>
      <c r="E288" s="5" t="s">
        <v>370</v>
      </c>
      <c r="F288" s="5" t="s">
        <v>129</v>
      </c>
      <c r="G288" s="5"/>
      <c r="H288" s="5"/>
      <c r="I288" s="186">
        <v>6900</v>
      </c>
      <c r="J288" s="186">
        <f>SUM('520D Lux NG64 EOH'!B3:B20)</f>
        <v>748.77</v>
      </c>
      <c r="K288" s="183">
        <f t="shared" si="11"/>
        <v>7648.77</v>
      </c>
      <c r="L288" s="186"/>
      <c r="M288" s="5"/>
      <c r="N288" s="16"/>
    </row>
    <row r="289" spans="2:14" ht="26" customHeight="1">
      <c r="B289" s="236">
        <v>46113</v>
      </c>
      <c r="C289" s="355">
        <v>46120</v>
      </c>
      <c r="D289" s="12" t="s">
        <v>371</v>
      </c>
      <c r="E289" s="5" t="s">
        <v>372</v>
      </c>
      <c r="F289" s="5" t="s">
        <v>129</v>
      </c>
      <c r="G289" s="5"/>
      <c r="H289" s="5"/>
      <c r="I289" s="186">
        <v>7000</v>
      </c>
      <c r="J289" s="186">
        <f>SUM('520D M Sport RJ65 VVN'!B3:B24)</f>
        <v>406.8</v>
      </c>
      <c r="K289" s="183">
        <f t="shared" si="11"/>
        <v>7406.8</v>
      </c>
      <c r="L289" s="186"/>
      <c r="M289" s="5"/>
      <c r="N289" s="16"/>
    </row>
    <row r="290" spans="2:14" ht="25" customHeight="1">
      <c r="B290" s="236">
        <v>46113</v>
      </c>
      <c r="C290" s="355">
        <v>46121</v>
      </c>
      <c r="D290" s="12" t="s">
        <v>373</v>
      </c>
      <c r="E290" s="5" t="s">
        <v>374</v>
      </c>
      <c r="F290" s="5" t="s">
        <v>107</v>
      </c>
      <c r="G290" s="5"/>
      <c r="H290" s="5"/>
      <c r="I290" s="186">
        <v>6100</v>
      </c>
      <c r="J290" s="186">
        <f>SUM('Kia Sportage ML20 YZW'!B3:B17)</f>
        <v>430.8</v>
      </c>
      <c r="K290" s="183">
        <f t="shared" si="11"/>
        <v>6530.8</v>
      </c>
      <c r="L290" s="186"/>
      <c r="M290" s="5"/>
      <c r="N290" s="16"/>
    </row>
    <row r="291" spans="2:14" ht="26" customHeight="1">
      <c r="B291" s="236">
        <v>46113</v>
      </c>
      <c r="C291" s="355"/>
      <c r="D291" s="12"/>
      <c r="E291" s="5"/>
      <c r="F291" s="5"/>
      <c r="G291" s="5"/>
      <c r="H291" s="5"/>
      <c r="I291" s="186"/>
      <c r="J291" s="186"/>
      <c r="K291" s="183"/>
      <c r="L291" s="186"/>
      <c r="M291" s="5"/>
      <c r="N291" s="16"/>
    </row>
    <row r="292" spans="2:14" ht="26" hidden="1" customHeight="1">
      <c r="B292" s="209"/>
      <c r="C292" s="367"/>
      <c r="D292" s="348"/>
      <c r="E292" s="1"/>
      <c r="F292" s="1"/>
      <c r="G292" s="1"/>
      <c r="H292" s="1"/>
      <c r="I292" s="187"/>
      <c r="J292" s="187"/>
      <c r="K292" s="187"/>
      <c r="L292" s="187"/>
      <c r="M292" s="1"/>
      <c r="N292" s="16"/>
    </row>
    <row r="293" spans="2:14" ht="26" hidden="1" customHeight="1">
      <c r="B293" s="209"/>
      <c r="C293" s="367"/>
      <c r="D293" s="348"/>
      <c r="E293" s="1"/>
      <c r="F293" s="1"/>
      <c r="G293" s="1"/>
      <c r="H293" s="1"/>
      <c r="I293" s="187"/>
      <c r="J293" s="187"/>
      <c r="K293" s="187"/>
      <c r="L293" s="187"/>
      <c r="M293" s="1"/>
      <c r="N293" s="16"/>
    </row>
    <row r="294" spans="2:14" ht="26" hidden="1" customHeight="1">
      <c r="B294" s="209"/>
      <c r="C294" s="367"/>
      <c r="D294" s="348"/>
      <c r="E294" s="1"/>
      <c r="F294" s="1"/>
      <c r="G294" s="1"/>
      <c r="H294" s="1"/>
      <c r="I294" s="187"/>
      <c r="J294" s="187"/>
      <c r="K294" s="187"/>
      <c r="L294" s="187"/>
      <c r="M294" s="1"/>
      <c r="N294" s="16"/>
    </row>
    <row r="295" spans="2:14" ht="26" hidden="1" customHeight="1">
      <c r="B295" s="209"/>
      <c r="C295" s="367"/>
      <c r="D295" s="348"/>
      <c r="E295" s="1"/>
      <c r="F295" s="1"/>
      <c r="G295" s="1"/>
      <c r="H295" s="1"/>
      <c r="I295" s="187"/>
      <c r="J295" s="187"/>
      <c r="K295" s="187"/>
      <c r="L295" s="187"/>
      <c r="M295" s="1"/>
      <c r="N295" s="16"/>
    </row>
    <row r="296" spans="2:14" ht="26" customHeight="1">
      <c r="B296" s="59"/>
      <c r="C296" s="358"/>
      <c r="D296" s="59"/>
      <c r="E296" s="59"/>
      <c r="F296" s="59"/>
      <c r="G296" s="59"/>
      <c r="H296" s="59"/>
      <c r="I296" s="278"/>
      <c r="J296" s="59"/>
      <c r="K296" s="59"/>
      <c r="L296" s="59"/>
      <c r="M296" s="59"/>
      <c r="N296" s="59"/>
    </row>
    <row r="297" spans="2:14" ht="26" customHeight="1">
      <c r="B297" s="59"/>
      <c r="C297" s="358"/>
      <c r="D297" s="59"/>
      <c r="E297" s="59"/>
      <c r="F297" s="59"/>
      <c r="G297" s="59"/>
      <c r="H297" s="59"/>
      <c r="I297" s="278"/>
      <c r="J297" s="59"/>
      <c r="K297" s="59"/>
      <c r="L297" s="59"/>
      <c r="M297" s="59"/>
      <c r="N297" s="59"/>
    </row>
    <row r="298" spans="2:14" ht="26" customHeight="1">
      <c r="B298" s="59"/>
      <c r="C298" s="358"/>
      <c r="D298" s="59"/>
      <c r="E298" s="59"/>
      <c r="F298" s="59"/>
      <c r="G298" s="59"/>
      <c r="H298" s="59"/>
      <c r="I298" s="278"/>
      <c r="J298" s="59"/>
      <c r="K298" s="59"/>
      <c r="L298" s="59"/>
      <c r="M298" s="59"/>
      <c r="N298" s="59"/>
    </row>
    <row r="299" spans="2:14" ht="26" customHeight="1">
      <c r="B299" s="59"/>
      <c r="C299" s="358"/>
      <c r="D299" s="59"/>
      <c r="E299" s="59"/>
      <c r="F299" s="59"/>
      <c r="G299" s="59"/>
      <c r="H299" s="59"/>
      <c r="I299" s="278"/>
      <c r="J299" s="59"/>
      <c r="K299" s="59"/>
      <c r="L299" s="59"/>
      <c r="M299" s="59"/>
      <c r="N299" s="59"/>
    </row>
    <row r="300" spans="2:14" ht="26" customHeight="1">
      <c r="B300" s="59"/>
      <c r="C300" s="358"/>
      <c r="D300" s="59"/>
      <c r="E300" s="59"/>
      <c r="F300" s="59"/>
      <c r="G300" s="59"/>
      <c r="H300" s="59"/>
      <c r="I300" s="278"/>
      <c r="J300" s="59"/>
      <c r="K300" s="59"/>
      <c r="L300" s="59"/>
      <c r="M300" s="59"/>
      <c r="N300" s="59"/>
    </row>
    <row r="301" spans="2:14" ht="26" customHeight="1">
      <c r="B301" s="59"/>
      <c r="C301" s="358"/>
      <c r="D301" s="59"/>
      <c r="E301" s="59"/>
      <c r="F301" s="59"/>
      <c r="G301" s="59"/>
      <c r="H301" s="59"/>
      <c r="I301" s="278"/>
      <c r="J301" s="59"/>
      <c r="K301" s="59"/>
      <c r="L301" s="59"/>
      <c r="M301" s="59"/>
      <c r="N301" s="59"/>
    </row>
    <row r="302" spans="2:14" ht="26" customHeight="1">
      <c r="B302" s="59"/>
      <c r="C302" s="358"/>
      <c r="D302" s="59"/>
      <c r="E302" s="59"/>
      <c r="F302" s="59"/>
      <c r="G302" s="59"/>
      <c r="H302" s="59"/>
      <c r="I302" s="278"/>
      <c r="J302" s="59"/>
      <c r="K302" s="59"/>
      <c r="L302" s="59"/>
      <c r="M302" s="59"/>
      <c r="N302" s="59"/>
    </row>
    <row r="303" spans="2:14" ht="26" customHeight="1">
      <c r="B303" s="59"/>
      <c r="C303" s="358"/>
      <c r="D303" s="59"/>
      <c r="E303" s="59"/>
      <c r="F303" s="59"/>
      <c r="G303" s="59"/>
      <c r="H303" s="59"/>
      <c r="I303" s="278"/>
      <c r="J303" s="59"/>
      <c r="K303" s="59"/>
      <c r="L303" s="59"/>
      <c r="M303" s="59"/>
      <c r="N303" s="59"/>
    </row>
    <row r="304" spans="2:14" ht="26" customHeight="1">
      <c r="B304" s="59"/>
      <c r="C304" s="358"/>
      <c r="D304" s="59"/>
      <c r="E304" s="59"/>
      <c r="F304" s="59"/>
      <c r="G304" s="59"/>
      <c r="H304" s="59"/>
      <c r="I304" s="278"/>
      <c r="J304" s="59"/>
      <c r="K304" s="59"/>
      <c r="L304" s="59"/>
      <c r="M304" s="59"/>
      <c r="N304" s="59"/>
    </row>
    <row r="305" spans="2:14" ht="26" customHeight="1">
      <c r="B305" s="59"/>
      <c r="C305" s="358"/>
      <c r="D305" s="59"/>
      <c r="E305" s="59"/>
      <c r="F305" s="59"/>
      <c r="G305" s="59"/>
      <c r="H305" s="59"/>
      <c r="I305" s="278"/>
      <c r="J305" s="59"/>
      <c r="K305" s="59"/>
      <c r="L305" s="59"/>
      <c r="M305" s="59"/>
      <c r="N305" s="59"/>
    </row>
    <row r="306" spans="2:14" ht="26" customHeight="1">
      <c r="B306" s="59"/>
      <c r="C306" s="358"/>
      <c r="D306" s="59"/>
      <c r="E306" s="59"/>
      <c r="F306" s="59"/>
      <c r="G306" s="59"/>
      <c r="H306" s="59"/>
      <c r="I306" s="278"/>
      <c r="J306" s="59"/>
      <c r="K306" s="59"/>
      <c r="L306" s="59"/>
      <c r="M306" s="59"/>
      <c r="N306" s="59"/>
    </row>
    <row r="307" spans="2:14" ht="26" customHeight="1">
      <c r="B307" s="59"/>
      <c r="C307" s="358"/>
      <c r="D307" s="59"/>
      <c r="E307" s="59"/>
      <c r="F307" s="59"/>
      <c r="G307" s="59"/>
      <c r="H307" s="59"/>
      <c r="I307" s="278"/>
      <c r="J307" s="59"/>
      <c r="K307" s="59"/>
      <c r="L307" s="59"/>
      <c r="M307" s="59"/>
      <c r="N307" s="59"/>
    </row>
    <row r="308" spans="2:14" ht="26" customHeight="1">
      <c r="B308" s="59"/>
      <c r="C308" s="358"/>
      <c r="D308" s="59"/>
      <c r="E308" s="59"/>
      <c r="F308" s="59"/>
      <c r="G308" s="59"/>
      <c r="H308" s="59"/>
      <c r="I308" s="278"/>
      <c r="J308" s="59"/>
      <c r="K308" s="59"/>
      <c r="L308" s="59"/>
      <c r="M308" s="59"/>
      <c r="N308" s="59"/>
    </row>
    <row r="309" spans="2:14" ht="26" customHeight="1">
      <c r="B309" s="59"/>
      <c r="C309" s="358"/>
      <c r="D309" s="59"/>
      <c r="E309" s="59"/>
      <c r="F309" s="59"/>
      <c r="G309" s="59"/>
      <c r="H309" s="59"/>
      <c r="I309" s="278"/>
      <c r="J309" s="59"/>
      <c r="K309" s="59"/>
      <c r="L309" s="59"/>
      <c r="M309" s="59"/>
      <c r="N309" s="59"/>
    </row>
    <row r="310" spans="2:14" ht="26" customHeight="1">
      <c r="B310" s="59"/>
      <c r="C310" s="358"/>
      <c r="D310" s="59"/>
      <c r="E310" s="59"/>
      <c r="F310" s="59"/>
      <c r="G310" s="59"/>
      <c r="H310" s="59"/>
      <c r="I310" s="278"/>
      <c r="J310" s="59"/>
      <c r="K310" s="59"/>
      <c r="L310" s="59"/>
      <c r="M310" s="59"/>
      <c r="N310" s="59"/>
    </row>
    <row r="311" spans="2:14" ht="26" customHeight="1">
      <c r="B311" s="59"/>
      <c r="C311" s="358"/>
      <c r="D311" s="59"/>
      <c r="E311" s="59"/>
      <c r="F311" s="59"/>
      <c r="G311" s="59"/>
      <c r="H311" s="59"/>
      <c r="I311" s="278"/>
      <c r="J311" s="59"/>
      <c r="K311" s="59"/>
      <c r="L311" s="59"/>
      <c r="M311" s="59"/>
      <c r="N311" s="59"/>
    </row>
    <row r="312" spans="2:14" ht="26" customHeight="1">
      <c r="B312" s="59"/>
      <c r="C312" s="358"/>
      <c r="D312" s="59"/>
      <c r="E312" s="59"/>
      <c r="F312" s="59"/>
      <c r="G312" s="59"/>
      <c r="H312" s="59"/>
      <c r="I312" s="278"/>
      <c r="J312" s="59"/>
      <c r="K312" s="59"/>
      <c r="L312" s="59"/>
      <c r="M312" s="59"/>
      <c r="N312" s="59"/>
    </row>
    <row r="313" spans="2:14" ht="26" customHeight="1">
      <c r="B313" s="59"/>
      <c r="C313" s="358"/>
      <c r="D313" s="59"/>
      <c r="E313" s="59"/>
      <c r="F313" s="59"/>
      <c r="G313" s="59"/>
      <c r="H313" s="59"/>
      <c r="I313" s="278"/>
      <c r="J313" s="59"/>
      <c r="K313" s="59"/>
      <c r="L313" s="59"/>
      <c r="M313" s="59"/>
      <c r="N313" s="59"/>
    </row>
    <row r="314" spans="2:14" ht="26" customHeight="1">
      <c r="B314" s="59"/>
      <c r="C314" s="358"/>
      <c r="D314" s="59"/>
      <c r="E314" s="59"/>
      <c r="F314" s="59"/>
      <c r="G314" s="59"/>
      <c r="H314" s="59"/>
      <c r="I314" s="278"/>
      <c r="J314" s="59"/>
      <c r="K314" s="59"/>
      <c r="L314" s="59"/>
      <c r="M314" s="59"/>
      <c r="N314" s="59"/>
    </row>
    <row r="315" spans="2:14" ht="26" customHeight="1">
      <c r="B315" s="59"/>
      <c r="C315" s="358"/>
      <c r="D315" s="59"/>
      <c r="E315" s="59"/>
      <c r="F315" s="59"/>
      <c r="G315" s="59"/>
      <c r="H315" s="59"/>
      <c r="I315" s="278"/>
      <c r="J315" s="59"/>
      <c r="K315" s="59"/>
      <c r="L315" s="59"/>
      <c r="M315" s="59"/>
      <c r="N315" s="59"/>
    </row>
    <row r="316" spans="2:14" ht="26" customHeight="1">
      <c r="B316" s="59"/>
      <c r="C316" s="358"/>
      <c r="D316" s="59"/>
      <c r="E316" s="59"/>
      <c r="F316" s="59"/>
      <c r="G316" s="59"/>
      <c r="H316" s="59"/>
      <c r="I316" s="278"/>
      <c r="J316" s="59"/>
      <c r="K316" s="59"/>
      <c r="L316" s="59"/>
      <c r="M316" s="59"/>
      <c r="N316" s="59"/>
    </row>
    <row r="317" spans="2:14" ht="26" customHeight="1">
      <c r="B317" s="59"/>
      <c r="C317" s="358"/>
      <c r="D317" s="59"/>
      <c r="E317" s="59"/>
      <c r="F317" s="59"/>
      <c r="G317" s="59"/>
      <c r="H317" s="59"/>
      <c r="I317" s="278"/>
      <c r="J317" s="59"/>
      <c r="K317" s="59"/>
      <c r="L317" s="59"/>
      <c r="M317" s="59"/>
      <c r="N317" s="59"/>
    </row>
    <row r="318" spans="2:14" ht="26" customHeight="1">
      <c r="B318" s="59"/>
      <c r="C318" s="358"/>
      <c r="D318" s="59"/>
      <c r="E318" s="59"/>
      <c r="F318" s="59"/>
      <c r="G318" s="59"/>
      <c r="H318" s="59"/>
      <c r="I318" s="278"/>
      <c r="J318" s="59"/>
      <c r="K318" s="59"/>
      <c r="L318" s="59"/>
      <c r="M318" s="59"/>
      <c r="N318" s="59"/>
    </row>
    <row r="319" spans="2:14" ht="26" customHeight="1">
      <c r="B319" s="59"/>
      <c r="C319" s="358"/>
      <c r="D319" s="59"/>
      <c r="E319" s="59"/>
      <c r="F319" s="59"/>
      <c r="G319" s="59"/>
      <c r="H319" s="59"/>
      <c r="I319" s="278"/>
      <c r="J319" s="59"/>
      <c r="K319" s="59"/>
      <c r="L319" s="59"/>
      <c r="M319" s="59"/>
      <c r="N319" s="59"/>
    </row>
    <row r="320" spans="2:14" ht="26" customHeight="1">
      <c r="B320" s="59"/>
      <c r="C320" s="358"/>
      <c r="D320" s="59"/>
      <c r="E320" s="59"/>
      <c r="F320" s="59"/>
      <c r="G320" s="59"/>
      <c r="H320" s="59"/>
      <c r="I320" s="278"/>
      <c r="J320" s="59"/>
      <c r="K320" s="59"/>
      <c r="L320" s="59"/>
      <c r="M320" s="59"/>
      <c r="N320" s="59"/>
    </row>
    <row r="321" spans="2:14" ht="26" customHeight="1">
      <c r="B321" s="59"/>
      <c r="C321" s="358"/>
      <c r="D321" s="59"/>
      <c r="E321" s="59"/>
      <c r="F321" s="59"/>
      <c r="G321" s="59"/>
      <c r="H321" s="59"/>
      <c r="I321" s="278"/>
      <c r="J321" s="59"/>
      <c r="K321" s="59"/>
      <c r="L321" s="59"/>
      <c r="M321" s="59"/>
      <c r="N321" s="59"/>
    </row>
    <row r="322" spans="2:14" ht="26" customHeight="1">
      <c r="B322" s="59"/>
      <c r="C322" s="358"/>
      <c r="D322" s="59"/>
      <c r="E322" s="59"/>
      <c r="F322" s="59"/>
      <c r="G322" s="59"/>
      <c r="H322" s="59"/>
      <c r="I322" s="278"/>
      <c r="J322" s="59"/>
      <c r="K322" s="59"/>
      <c r="L322" s="59"/>
      <c r="M322" s="59"/>
      <c r="N322" s="59"/>
    </row>
    <row r="323" spans="2:14" ht="26" customHeight="1">
      <c r="B323" s="59"/>
      <c r="C323" s="358"/>
      <c r="D323" s="59"/>
      <c r="E323" s="59"/>
      <c r="F323" s="59"/>
      <c r="G323" s="59"/>
      <c r="H323" s="59"/>
      <c r="I323" s="278"/>
      <c r="J323" s="59"/>
      <c r="K323" s="59"/>
      <c r="L323" s="59"/>
      <c r="M323" s="59"/>
      <c r="N323" s="59"/>
    </row>
    <row r="324" spans="2:14" ht="26" customHeight="1">
      <c r="B324" s="59"/>
      <c r="C324" s="358"/>
      <c r="D324" s="59"/>
      <c r="E324" s="59"/>
      <c r="F324" s="59"/>
      <c r="G324" s="59"/>
      <c r="H324" s="59"/>
      <c r="I324" s="278"/>
      <c r="J324" s="59"/>
      <c r="K324" s="59"/>
      <c r="L324" s="59"/>
      <c r="M324" s="59"/>
      <c r="N324" s="59"/>
    </row>
    <row r="325" spans="2:14" ht="26" customHeight="1">
      <c r="B325" s="59"/>
      <c r="C325" s="358"/>
      <c r="D325" s="59"/>
      <c r="E325" s="59"/>
      <c r="F325" s="59"/>
      <c r="G325" s="59"/>
      <c r="H325" s="59"/>
      <c r="I325" s="278"/>
      <c r="J325" s="59"/>
      <c r="K325" s="59"/>
      <c r="L325" s="59"/>
      <c r="M325" s="59"/>
      <c r="N325" s="59"/>
    </row>
    <row r="326" spans="2:14" ht="26" customHeight="1">
      <c r="B326" s="59"/>
      <c r="C326" s="358"/>
      <c r="D326" s="59"/>
      <c r="E326" s="59"/>
      <c r="F326" s="59"/>
      <c r="G326" s="59"/>
      <c r="H326" s="59"/>
      <c r="I326" s="278"/>
      <c r="J326" s="59"/>
      <c r="K326" s="59"/>
      <c r="L326" s="59"/>
      <c r="M326" s="59"/>
      <c r="N326" s="59"/>
    </row>
    <row r="327" spans="2:14" ht="26" customHeight="1">
      <c r="B327" s="59"/>
      <c r="C327" s="358"/>
      <c r="D327" s="59"/>
      <c r="E327" s="59"/>
      <c r="F327" s="59"/>
      <c r="G327" s="59"/>
      <c r="H327" s="59"/>
      <c r="I327" s="278"/>
      <c r="J327" s="59"/>
      <c r="K327" s="59"/>
      <c r="L327" s="59"/>
      <c r="M327" s="59"/>
      <c r="N327" s="59"/>
    </row>
    <row r="328" spans="2:14" ht="26" customHeight="1">
      <c r="B328" s="59"/>
      <c r="C328" s="358"/>
      <c r="D328" s="59"/>
      <c r="E328" s="59"/>
      <c r="F328" s="59"/>
      <c r="G328" s="59"/>
      <c r="H328" s="59"/>
      <c r="I328" s="278"/>
      <c r="J328" s="59"/>
      <c r="K328" s="59"/>
      <c r="L328" s="59"/>
      <c r="M328" s="59"/>
      <c r="N328" s="59"/>
    </row>
    <row r="329" spans="2:14" ht="26" customHeight="1">
      <c r="B329" s="59"/>
      <c r="C329" s="358"/>
      <c r="D329" s="59"/>
      <c r="E329" s="59"/>
      <c r="F329" s="59"/>
      <c r="G329" s="59"/>
      <c r="H329" s="59"/>
      <c r="I329" s="278"/>
      <c r="J329" s="59"/>
      <c r="K329" s="59"/>
      <c r="L329" s="59"/>
      <c r="M329" s="59"/>
      <c r="N329" s="59"/>
    </row>
    <row r="330" spans="2:14" ht="26" customHeight="1">
      <c r="B330" s="59"/>
      <c r="C330" s="358"/>
      <c r="D330" s="59"/>
      <c r="E330" s="59"/>
      <c r="F330" s="59"/>
      <c r="G330" s="59"/>
      <c r="H330" s="59"/>
      <c r="I330" s="278"/>
      <c r="J330" s="59"/>
      <c r="K330" s="59"/>
      <c r="L330" s="59"/>
      <c r="M330" s="59"/>
      <c r="N330" s="59"/>
    </row>
    <row r="331" spans="2:14" ht="26" customHeight="1">
      <c r="B331" s="59"/>
      <c r="C331" s="358"/>
      <c r="D331" s="59"/>
      <c r="E331" s="59"/>
      <c r="F331" s="59"/>
      <c r="G331" s="59"/>
      <c r="H331" s="59"/>
      <c r="I331" s="278"/>
      <c r="J331" s="59"/>
      <c r="K331" s="59"/>
      <c r="L331" s="59"/>
      <c r="M331" s="59"/>
      <c r="N331" s="59"/>
    </row>
    <row r="332" spans="2:14" ht="26" customHeight="1">
      <c r="B332" s="59"/>
      <c r="C332" s="358"/>
      <c r="D332" s="59"/>
      <c r="E332" s="59"/>
      <c r="F332" s="59"/>
      <c r="G332" s="59"/>
      <c r="H332" s="59"/>
      <c r="I332" s="278"/>
      <c r="J332" s="59"/>
      <c r="K332" s="59"/>
      <c r="L332" s="59"/>
      <c r="M332" s="59"/>
      <c r="N332" s="59"/>
    </row>
    <row r="333" spans="2:14" ht="26" customHeight="1">
      <c r="B333" s="59"/>
      <c r="C333" s="358"/>
      <c r="D333" s="59"/>
      <c r="E333" s="59"/>
      <c r="F333" s="59"/>
      <c r="G333" s="59"/>
      <c r="H333" s="59"/>
      <c r="I333" s="278"/>
      <c r="J333" s="59"/>
      <c r="K333" s="59"/>
      <c r="L333" s="59"/>
      <c r="M333" s="59"/>
      <c r="N333" s="59"/>
    </row>
    <row r="334" spans="2:14" ht="26" customHeight="1">
      <c r="B334" s="59"/>
      <c r="C334" s="358"/>
      <c r="D334" s="59"/>
      <c r="E334" s="59"/>
      <c r="F334" s="59"/>
      <c r="G334" s="59"/>
      <c r="H334" s="59"/>
      <c r="I334" s="278"/>
      <c r="J334" s="59"/>
      <c r="K334" s="59"/>
      <c r="L334" s="59"/>
      <c r="M334" s="59"/>
      <c r="N334" s="59"/>
    </row>
    <row r="335" spans="2:14" ht="26" customHeight="1">
      <c r="B335" s="59"/>
      <c r="C335" s="358"/>
      <c r="D335" s="59"/>
      <c r="E335" s="59"/>
      <c r="F335" s="59"/>
      <c r="G335" s="59"/>
      <c r="H335" s="59"/>
      <c r="I335" s="278"/>
      <c r="J335" s="59"/>
      <c r="K335" s="59"/>
      <c r="L335" s="59"/>
      <c r="M335" s="59"/>
      <c r="N335" s="59"/>
    </row>
    <row r="336" spans="2:14" ht="26" customHeight="1">
      <c r="B336" s="59"/>
      <c r="C336" s="358"/>
      <c r="D336" s="59"/>
      <c r="E336" s="59"/>
      <c r="F336" s="59"/>
      <c r="G336" s="59"/>
      <c r="H336" s="59"/>
      <c r="I336" s="278"/>
      <c r="J336" s="59"/>
      <c r="K336" s="59"/>
      <c r="L336" s="59"/>
      <c r="M336" s="59"/>
      <c r="N336" s="59"/>
    </row>
    <row r="337" spans="2:14" ht="26" customHeight="1">
      <c r="B337" s="59"/>
      <c r="C337" s="358"/>
      <c r="D337" s="59"/>
      <c r="E337" s="59"/>
      <c r="F337" s="59"/>
      <c r="G337" s="59"/>
      <c r="H337" s="59"/>
      <c r="I337" s="278"/>
      <c r="J337" s="59"/>
      <c r="K337" s="59"/>
      <c r="L337" s="59"/>
      <c r="M337" s="59"/>
      <c r="N337" s="59"/>
    </row>
    <row r="338" spans="2:14" ht="26" customHeight="1">
      <c r="B338" s="59"/>
      <c r="C338" s="358"/>
      <c r="D338" s="59"/>
      <c r="E338" s="59"/>
      <c r="F338" s="59"/>
      <c r="G338" s="59"/>
      <c r="H338" s="59"/>
      <c r="I338" s="278"/>
      <c r="J338" s="59"/>
      <c r="K338" s="59"/>
      <c r="L338" s="59"/>
      <c r="M338" s="59"/>
      <c r="N338" s="59"/>
    </row>
    <row r="339" spans="2:14" ht="26" customHeight="1">
      <c r="B339" s="59"/>
      <c r="C339" s="358"/>
      <c r="D339" s="59"/>
      <c r="E339" s="59"/>
      <c r="F339" s="59"/>
      <c r="G339" s="59"/>
      <c r="H339" s="59"/>
      <c r="I339" s="278"/>
      <c r="J339" s="59"/>
      <c r="K339" s="59"/>
      <c r="L339" s="59"/>
      <c r="M339" s="59"/>
      <c r="N339" s="59"/>
    </row>
    <row r="340" spans="2:14" ht="26" customHeight="1">
      <c r="B340" s="59"/>
      <c r="C340" s="358"/>
      <c r="D340" s="59"/>
      <c r="E340" s="59"/>
      <c r="F340" s="59"/>
      <c r="G340" s="59"/>
      <c r="H340" s="59"/>
      <c r="I340" s="278"/>
      <c r="J340" s="59"/>
      <c r="K340" s="59"/>
      <c r="L340" s="59"/>
      <c r="M340" s="59"/>
      <c r="N340" s="59"/>
    </row>
    <row r="341" spans="2:14" ht="26" customHeight="1">
      <c r="B341" s="59"/>
      <c r="C341" s="358"/>
      <c r="D341" s="59"/>
      <c r="E341" s="59"/>
      <c r="F341" s="59"/>
      <c r="G341" s="59"/>
      <c r="H341" s="59"/>
      <c r="I341" s="278"/>
      <c r="J341" s="59"/>
      <c r="K341" s="59"/>
      <c r="L341" s="59"/>
      <c r="M341" s="59"/>
      <c r="N341" s="59"/>
    </row>
    <row r="342" spans="2:14" ht="26" customHeight="1">
      <c r="B342" s="59"/>
      <c r="C342" s="358"/>
      <c r="D342" s="59"/>
      <c r="E342" s="59"/>
      <c r="F342" s="59"/>
      <c r="G342" s="59"/>
      <c r="H342" s="59"/>
      <c r="I342" s="278"/>
      <c r="J342" s="59"/>
      <c r="K342" s="59"/>
      <c r="L342" s="59"/>
      <c r="M342" s="59"/>
      <c r="N342" s="59"/>
    </row>
    <row r="343" spans="2:14" ht="26" customHeight="1">
      <c r="B343" s="59"/>
      <c r="C343" s="358"/>
      <c r="D343" s="59"/>
      <c r="E343" s="59"/>
      <c r="F343" s="59"/>
      <c r="G343" s="59"/>
      <c r="H343" s="59"/>
      <c r="I343" s="278"/>
      <c r="J343" s="59"/>
      <c r="K343" s="59"/>
      <c r="L343" s="59"/>
      <c r="M343" s="59"/>
      <c r="N343" s="59"/>
    </row>
    <row r="344" spans="2:14" ht="26" customHeight="1">
      <c r="B344" s="59"/>
      <c r="C344" s="358"/>
      <c r="D344" s="59"/>
      <c r="E344" s="59"/>
      <c r="F344" s="59"/>
      <c r="G344" s="59"/>
      <c r="H344" s="59"/>
      <c r="I344" s="278"/>
      <c r="J344" s="59"/>
      <c r="K344" s="59"/>
      <c r="L344" s="59"/>
      <c r="M344" s="59"/>
      <c r="N344" s="59"/>
    </row>
    <row r="345" spans="2:14" ht="26" customHeight="1">
      <c r="B345" s="59"/>
      <c r="C345" s="358"/>
      <c r="D345" s="59"/>
      <c r="E345" s="59"/>
      <c r="F345" s="59"/>
      <c r="G345" s="59"/>
      <c r="H345" s="59"/>
      <c r="I345" s="278"/>
      <c r="J345" s="59"/>
      <c r="K345" s="59"/>
      <c r="L345" s="59"/>
      <c r="M345" s="59"/>
      <c r="N345" s="59"/>
    </row>
    <row r="346" spans="2:14" ht="26" customHeight="1">
      <c r="B346" s="59"/>
      <c r="C346" s="358"/>
      <c r="D346" s="59"/>
      <c r="E346" s="59"/>
      <c r="F346" s="59"/>
      <c r="G346" s="59"/>
      <c r="H346" s="59"/>
      <c r="I346" s="278"/>
      <c r="J346" s="59"/>
      <c r="K346" s="59"/>
      <c r="L346" s="59"/>
      <c r="M346" s="59"/>
      <c r="N346" s="59"/>
    </row>
    <row r="347" spans="2:14" ht="26" customHeight="1">
      <c r="B347" s="59"/>
      <c r="C347" s="358"/>
      <c r="D347" s="59"/>
      <c r="E347" s="59"/>
      <c r="F347" s="59"/>
      <c r="G347" s="59"/>
      <c r="H347" s="59"/>
      <c r="I347" s="278"/>
      <c r="J347" s="59"/>
      <c r="K347" s="59"/>
      <c r="L347" s="59"/>
      <c r="M347" s="59"/>
      <c r="N347" s="59"/>
    </row>
    <row r="348" spans="2:14" ht="26" customHeight="1">
      <c r="B348" s="59"/>
      <c r="C348" s="358"/>
      <c r="D348" s="59"/>
      <c r="E348" s="59"/>
      <c r="F348" s="59"/>
      <c r="G348" s="59"/>
      <c r="H348" s="59"/>
      <c r="I348" s="278"/>
      <c r="J348" s="59"/>
      <c r="K348" s="59"/>
      <c r="L348" s="59"/>
      <c r="M348" s="59"/>
      <c r="N348" s="59"/>
    </row>
    <row r="349" spans="2:14" ht="26" customHeight="1">
      <c r="B349" s="59"/>
      <c r="C349" s="358"/>
      <c r="D349" s="59"/>
      <c r="E349" s="59"/>
      <c r="F349" s="59"/>
      <c r="G349" s="59"/>
      <c r="H349" s="59"/>
      <c r="I349" s="278"/>
      <c r="J349" s="59"/>
      <c r="K349" s="59"/>
      <c r="L349" s="59"/>
      <c r="M349" s="59"/>
      <c r="N349" s="59"/>
    </row>
    <row r="350" spans="2:14" ht="26" customHeight="1">
      <c r="B350" s="59"/>
      <c r="C350" s="358"/>
      <c r="D350" s="59"/>
      <c r="E350" s="59"/>
      <c r="F350" s="59"/>
      <c r="G350" s="59"/>
      <c r="H350" s="59"/>
      <c r="I350" s="278"/>
      <c r="J350" s="59"/>
      <c r="K350" s="59"/>
      <c r="L350" s="59"/>
      <c r="M350" s="59"/>
      <c r="N350" s="59"/>
    </row>
    <row r="351" spans="2:14" ht="26" customHeight="1">
      <c r="B351" s="59"/>
      <c r="C351" s="358"/>
      <c r="D351" s="59"/>
      <c r="E351" s="59"/>
      <c r="F351" s="59"/>
      <c r="G351" s="59"/>
      <c r="H351" s="59"/>
      <c r="I351" s="278"/>
      <c r="J351" s="59"/>
      <c r="K351" s="59"/>
      <c r="L351" s="59"/>
      <c r="M351" s="59"/>
      <c r="N351" s="59"/>
    </row>
    <row r="352" spans="2:14" ht="26" customHeight="1">
      <c r="B352" s="59"/>
      <c r="C352" s="358"/>
      <c r="D352" s="59"/>
      <c r="E352" s="59"/>
      <c r="F352" s="59"/>
      <c r="G352" s="59"/>
      <c r="H352" s="59"/>
      <c r="I352" s="278"/>
      <c r="J352" s="59"/>
      <c r="K352" s="59"/>
      <c r="L352" s="59"/>
      <c r="M352" s="59"/>
      <c r="N352" s="59"/>
    </row>
    <row r="353" spans="2:14" ht="26" customHeight="1">
      <c r="B353" s="59"/>
      <c r="C353" s="358"/>
      <c r="D353" s="59"/>
      <c r="E353" s="59"/>
      <c r="F353" s="59"/>
      <c r="G353" s="59"/>
      <c r="H353" s="59"/>
      <c r="I353" s="278"/>
      <c r="J353" s="59"/>
      <c r="K353" s="59"/>
      <c r="L353" s="59"/>
      <c r="M353" s="59"/>
      <c r="N353" s="59"/>
    </row>
    <row r="354" spans="2:14" ht="26" customHeight="1">
      <c r="B354" s="59"/>
      <c r="C354" s="358"/>
      <c r="D354" s="59"/>
      <c r="E354" s="59"/>
      <c r="F354" s="59"/>
      <c r="G354" s="59"/>
      <c r="H354" s="59"/>
      <c r="I354" s="278"/>
      <c r="J354" s="59"/>
      <c r="K354" s="59"/>
      <c r="L354" s="59"/>
      <c r="M354" s="59"/>
      <c r="N354" s="59"/>
    </row>
    <row r="355" spans="2:14" ht="26" customHeight="1">
      <c r="B355" s="59"/>
      <c r="C355" s="358"/>
      <c r="D355" s="59"/>
      <c r="E355" s="59"/>
      <c r="F355" s="59"/>
      <c r="G355" s="59"/>
      <c r="H355" s="59"/>
      <c r="I355" s="278"/>
      <c r="J355" s="59"/>
      <c r="K355" s="59"/>
      <c r="L355" s="59"/>
      <c r="M355" s="59"/>
      <c r="N355" s="59"/>
    </row>
    <row r="356" spans="2:14" ht="26" customHeight="1">
      <c r="B356" s="59"/>
      <c r="C356" s="358"/>
      <c r="D356" s="59"/>
      <c r="E356" s="59"/>
      <c r="F356" s="59"/>
      <c r="G356" s="59"/>
      <c r="H356" s="59"/>
      <c r="I356" s="278"/>
      <c r="J356" s="59"/>
      <c r="K356" s="59"/>
      <c r="L356" s="59"/>
      <c r="M356" s="59"/>
      <c r="N356" s="59"/>
    </row>
    <row r="357" spans="2:14" ht="26" customHeight="1">
      <c r="B357" s="59"/>
      <c r="C357" s="358"/>
      <c r="D357" s="59"/>
      <c r="E357" s="59"/>
      <c r="F357" s="59"/>
      <c r="G357" s="59"/>
      <c r="H357" s="59"/>
      <c r="I357" s="278"/>
      <c r="J357" s="59"/>
      <c r="K357" s="59"/>
      <c r="L357" s="59"/>
      <c r="M357" s="59"/>
      <c r="N357" s="59"/>
    </row>
    <row r="358" spans="2:14" ht="26" customHeight="1">
      <c r="B358" s="59"/>
      <c r="C358" s="358"/>
      <c r="D358" s="59"/>
      <c r="E358" s="59"/>
      <c r="F358" s="59"/>
      <c r="G358" s="59"/>
      <c r="H358" s="59"/>
      <c r="I358" s="278"/>
      <c r="J358" s="59"/>
      <c r="K358" s="59"/>
      <c r="L358" s="59"/>
      <c r="M358" s="59"/>
      <c r="N358" s="59"/>
    </row>
    <row r="359" spans="2:14" ht="26" customHeight="1">
      <c r="B359" s="59"/>
      <c r="C359" s="358"/>
      <c r="D359" s="59"/>
      <c r="E359" s="59"/>
      <c r="F359" s="59"/>
      <c r="G359" s="59"/>
      <c r="H359" s="59"/>
      <c r="I359" s="278"/>
      <c r="J359" s="59"/>
      <c r="K359" s="59"/>
      <c r="L359" s="59"/>
      <c r="M359" s="59"/>
      <c r="N359" s="59"/>
    </row>
    <row r="360" spans="2:14" ht="26" customHeight="1">
      <c r="B360" s="59"/>
      <c r="C360" s="358"/>
      <c r="D360" s="59"/>
      <c r="E360" s="59"/>
      <c r="F360" s="59"/>
      <c r="G360" s="59"/>
      <c r="H360" s="59"/>
      <c r="I360" s="278"/>
      <c r="J360" s="59"/>
      <c r="K360" s="59"/>
      <c r="L360" s="59"/>
      <c r="M360" s="59"/>
      <c r="N360" s="59"/>
    </row>
    <row r="361" spans="2:14" ht="26" customHeight="1">
      <c r="B361" s="59"/>
      <c r="C361" s="358"/>
      <c r="D361" s="59"/>
      <c r="E361" s="59"/>
      <c r="F361" s="59"/>
      <c r="G361" s="59"/>
      <c r="H361" s="59"/>
      <c r="I361" s="278"/>
      <c r="J361" s="59"/>
      <c r="K361" s="59"/>
      <c r="L361" s="59"/>
      <c r="M361" s="59"/>
      <c r="N361" s="59"/>
    </row>
    <row r="362" spans="2:14" ht="26" customHeight="1">
      <c r="B362" s="59"/>
      <c r="C362" s="358"/>
      <c r="D362" s="59"/>
      <c r="E362" s="59"/>
      <c r="F362" s="59"/>
      <c r="G362" s="59"/>
      <c r="H362" s="59"/>
      <c r="I362" s="278"/>
      <c r="J362" s="59"/>
      <c r="K362" s="59"/>
      <c r="L362" s="59"/>
      <c r="M362" s="59"/>
      <c r="N362" s="59"/>
    </row>
    <row r="363" spans="2:14" ht="26" customHeight="1">
      <c r="B363" s="59"/>
      <c r="C363" s="358"/>
      <c r="D363" s="59"/>
      <c r="E363" s="59"/>
      <c r="F363" s="59"/>
      <c r="G363" s="59"/>
      <c r="H363" s="59"/>
      <c r="I363" s="278"/>
      <c r="J363" s="59"/>
      <c r="K363" s="59"/>
      <c r="L363" s="59"/>
      <c r="M363" s="59"/>
      <c r="N363" s="59"/>
    </row>
    <row r="364" spans="2:14" ht="26" customHeight="1">
      <c r="B364" s="59"/>
      <c r="C364" s="358"/>
      <c r="D364" s="59"/>
      <c r="E364" s="59"/>
      <c r="F364" s="59"/>
      <c r="G364" s="59"/>
      <c r="H364" s="59"/>
      <c r="I364" s="278"/>
      <c r="J364" s="59"/>
      <c r="K364" s="59"/>
      <c r="L364" s="59"/>
      <c r="M364" s="59"/>
      <c r="N364" s="59"/>
    </row>
    <row r="365" spans="2:14" ht="26" customHeight="1">
      <c r="B365" s="59"/>
      <c r="C365" s="358"/>
      <c r="D365" s="59"/>
      <c r="E365" s="59"/>
      <c r="F365" s="59"/>
      <c r="G365" s="59"/>
      <c r="H365" s="59"/>
      <c r="I365" s="278"/>
      <c r="J365" s="59"/>
      <c r="K365" s="59"/>
      <c r="L365" s="59"/>
      <c r="M365" s="59"/>
      <c r="N365" s="59"/>
    </row>
    <row r="366" spans="2:14" ht="26" customHeight="1">
      <c r="B366" s="59"/>
      <c r="C366" s="358"/>
      <c r="D366" s="59"/>
      <c r="E366" s="59"/>
      <c r="F366" s="59"/>
      <c r="G366" s="59"/>
      <c r="H366" s="59"/>
      <c r="I366" s="278"/>
      <c r="J366" s="59"/>
      <c r="K366" s="59"/>
      <c r="L366" s="59"/>
      <c r="M366" s="59"/>
      <c r="N366" s="59"/>
    </row>
    <row r="367" spans="2:14" ht="26" customHeight="1">
      <c r="B367" s="59"/>
      <c r="C367" s="358"/>
      <c r="D367" s="59"/>
      <c r="E367" s="59"/>
      <c r="F367" s="59"/>
      <c r="G367" s="59"/>
      <c r="H367" s="59"/>
      <c r="I367" s="278"/>
      <c r="J367" s="59"/>
      <c r="K367" s="59"/>
      <c r="L367" s="59"/>
      <c r="M367" s="59"/>
      <c r="N367" s="59"/>
    </row>
    <row r="368" spans="2:14" ht="26" customHeight="1">
      <c r="B368" s="59"/>
      <c r="C368" s="358"/>
      <c r="D368" s="59"/>
      <c r="E368" s="59"/>
      <c r="F368" s="59"/>
      <c r="G368" s="59"/>
      <c r="H368" s="59"/>
      <c r="I368" s="278"/>
      <c r="J368" s="59"/>
      <c r="K368" s="59"/>
      <c r="L368" s="59"/>
      <c r="M368" s="59"/>
      <c r="N368" s="59"/>
    </row>
    <row r="369" spans="2:14" ht="26" customHeight="1">
      <c r="B369" s="59"/>
      <c r="C369" s="358"/>
      <c r="D369" s="59"/>
      <c r="E369" s="59"/>
      <c r="F369" s="59"/>
      <c r="G369" s="59"/>
      <c r="H369" s="59"/>
      <c r="I369" s="278"/>
      <c r="J369" s="59"/>
      <c r="K369" s="59"/>
      <c r="L369" s="59"/>
      <c r="M369" s="59"/>
      <c r="N369" s="59"/>
    </row>
    <row r="370" spans="2:14">
      <c r="B370" s="59"/>
      <c r="C370" s="358"/>
      <c r="D370" s="59"/>
      <c r="E370" s="59"/>
      <c r="F370" s="59"/>
      <c r="G370" s="59"/>
      <c r="H370" s="59"/>
      <c r="I370" s="278"/>
      <c r="J370" s="59"/>
      <c r="K370" s="59"/>
      <c r="L370" s="59"/>
      <c r="M370" s="59"/>
      <c r="N370" s="59"/>
    </row>
    <row r="371" spans="2:14">
      <c r="B371" s="59"/>
      <c r="C371" s="358"/>
      <c r="D371" s="59"/>
      <c r="E371" s="59"/>
      <c r="F371" s="59"/>
      <c r="G371" s="59"/>
      <c r="H371" s="59"/>
      <c r="I371" s="278"/>
      <c r="J371" s="59"/>
      <c r="K371" s="59"/>
      <c r="L371" s="59"/>
      <c r="M371" s="59"/>
      <c r="N371" s="59"/>
    </row>
    <row r="372" spans="2:14">
      <c r="B372" s="59"/>
      <c r="C372" s="358"/>
      <c r="D372" s="59"/>
      <c r="E372" s="59"/>
      <c r="F372" s="59"/>
      <c r="G372" s="59"/>
      <c r="H372" s="59"/>
      <c r="I372" s="278"/>
      <c r="J372" s="59"/>
      <c r="K372" s="59"/>
      <c r="L372" s="59"/>
      <c r="M372" s="59"/>
      <c r="N372" s="59"/>
    </row>
    <row r="373" spans="2:14">
      <c r="B373" s="59"/>
      <c r="C373" s="358"/>
      <c r="D373" s="59"/>
      <c r="E373" s="59"/>
      <c r="F373" s="59"/>
      <c r="G373" s="59"/>
      <c r="H373" s="59"/>
      <c r="I373" s="278"/>
      <c r="J373" s="59"/>
      <c r="K373" s="59"/>
      <c r="L373" s="59"/>
      <c r="M373" s="59"/>
      <c r="N373" s="59"/>
    </row>
    <row r="374" spans="2:14">
      <c r="B374" s="59"/>
      <c r="C374" s="358"/>
      <c r="D374" s="59"/>
      <c r="E374" s="59"/>
      <c r="F374" s="59"/>
      <c r="G374" s="59"/>
      <c r="H374" s="59"/>
      <c r="I374" s="278"/>
      <c r="J374" s="59"/>
      <c r="K374" s="59"/>
      <c r="L374" s="59"/>
      <c r="M374" s="59"/>
      <c r="N374" s="59"/>
    </row>
    <row r="375" spans="2:14">
      <c r="B375" s="59"/>
      <c r="C375" s="358"/>
      <c r="D375" s="59"/>
      <c r="E375" s="59"/>
      <c r="F375" s="59"/>
      <c r="G375" s="59"/>
      <c r="H375" s="59"/>
      <c r="I375" s="278"/>
      <c r="J375" s="59"/>
      <c r="K375" s="59"/>
      <c r="L375" s="59"/>
      <c r="M375" s="59"/>
      <c r="N375" s="59"/>
    </row>
    <row r="376" spans="2:14">
      <c r="B376" s="59"/>
      <c r="C376" s="358"/>
      <c r="D376" s="59"/>
      <c r="E376" s="59"/>
      <c r="F376" s="59"/>
      <c r="G376" s="59"/>
      <c r="H376" s="59"/>
      <c r="I376" s="278"/>
      <c r="J376" s="59"/>
      <c r="K376" s="59"/>
      <c r="L376" s="59"/>
      <c r="M376" s="59"/>
      <c r="N376" s="59"/>
    </row>
    <row r="377" spans="2:14">
      <c r="B377" s="59"/>
      <c r="C377" s="358"/>
      <c r="D377" s="59"/>
      <c r="E377" s="59"/>
      <c r="F377" s="59"/>
      <c r="G377" s="59"/>
      <c r="H377" s="59"/>
      <c r="I377" s="278"/>
      <c r="J377" s="59"/>
      <c r="K377" s="59"/>
      <c r="L377" s="59"/>
      <c r="M377" s="59"/>
      <c r="N377" s="59"/>
    </row>
    <row r="378" spans="2:14">
      <c r="B378" s="59"/>
      <c r="C378" s="358"/>
      <c r="D378" s="59"/>
      <c r="E378" s="59"/>
      <c r="F378" s="59"/>
      <c r="G378" s="59"/>
      <c r="H378" s="59"/>
      <c r="I378" s="278"/>
      <c r="J378" s="59"/>
      <c r="K378" s="59"/>
      <c r="L378" s="59"/>
      <c r="M378" s="59"/>
      <c r="N378" s="59"/>
    </row>
    <row r="379" spans="2:14">
      <c r="B379" s="59"/>
      <c r="C379" s="358"/>
      <c r="D379" s="59"/>
      <c r="E379" s="59"/>
      <c r="F379" s="59"/>
      <c r="G379" s="59"/>
      <c r="H379" s="59"/>
      <c r="I379" s="278"/>
      <c r="J379" s="59"/>
      <c r="K379" s="59"/>
      <c r="L379" s="59"/>
      <c r="M379" s="59"/>
      <c r="N379" s="59"/>
    </row>
    <row r="380" spans="2:14">
      <c r="B380" s="59"/>
      <c r="C380" s="358"/>
      <c r="D380" s="59"/>
      <c r="E380" s="59"/>
      <c r="F380" s="59"/>
      <c r="G380" s="59"/>
      <c r="H380" s="59"/>
      <c r="I380" s="278"/>
      <c r="J380" s="59"/>
      <c r="K380" s="59"/>
      <c r="L380" s="59"/>
      <c r="M380" s="59"/>
      <c r="N380" s="59"/>
    </row>
    <row r="381" spans="2:14">
      <c r="B381" s="59"/>
      <c r="C381" s="358"/>
      <c r="D381" s="59"/>
      <c r="E381" s="59"/>
      <c r="F381" s="59"/>
      <c r="G381" s="59"/>
      <c r="H381" s="59"/>
      <c r="I381" s="278"/>
      <c r="J381" s="59"/>
      <c r="K381" s="59"/>
      <c r="L381" s="59"/>
      <c r="M381" s="59"/>
      <c r="N381" s="59"/>
    </row>
    <row r="382" spans="2:14">
      <c r="B382" s="59"/>
      <c r="C382" s="358"/>
      <c r="D382" s="59"/>
      <c r="E382" s="59"/>
      <c r="F382" s="59"/>
      <c r="G382" s="59"/>
      <c r="H382" s="59"/>
      <c r="I382" s="278"/>
      <c r="J382" s="59"/>
      <c r="K382" s="59"/>
      <c r="L382" s="59"/>
      <c r="M382" s="59"/>
      <c r="N382" s="59"/>
    </row>
    <row r="383" spans="2:14">
      <c r="B383" s="59"/>
      <c r="C383" s="358"/>
      <c r="D383" s="59"/>
      <c r="E383" s="59"/>
      <c r="F383" s="59"/>
      <c r="G383" s="59"/>
      <c r="H383" s="59"/>
      <c r="I383" s="278"/>
      <c r="J383" s="59"/>
      <c r="K383" s="59"/>
      <c r="L383" s="59"/>
      <c r="M383" s="59"/>
      <c r="N383" s="59"/>
    </row>
    <row r="384" spans="2:14">
      <c r="B384" s="59"/>
      <c r="C384" s="358"/>
      <c r="D384" s="59"/>
      <c r="E384" s="59"/>
      <c r="F384" s="59"/>
      <c r="G384" s="59"/>
      <c r="H384" s="59"/>
      <c r="I384" s="278"/>
      <c r="J384" s="59"/>
      <c r="K384" s="59"/>
      <c r="L384" s="59"/>
      <c r="M384" s="59"/>
      <c r="N384" s="59"/>
    </row>
    <row r="385" spans="2:14">
      <c r="B385" s="59"/>
      <c r="C385" s="358"/>
      <c r="D385" s="59"/>
      <c r="E385" s="59"/>
      <c r="F385" s="59"/>
      <c r="G385" s="59"/>
      <c r="H385" s="59"/>
      <c r="I385" s="278"/>
      <c r="J385" s="59"/>
      <c r="K385" s="59"/>
      <c r="L385" s="59"/>
      <c r="M385" s="59"/>
      <c r="N385" s="59"/>
    </row>
    <row r="386" spans="2:14">
      <c r="B386" s="59"/>
      <c r="C386" s="358"/>
      <c r="D386" s="59"/>
      <c r="E386" s="59"/>
      <c r="F386" s="59"/>
      <c r="G386" s="59"/>
      <c r="H386" s="59"/>
      <c r="I386" s="278"/>
      <c r="J386" s="59"/>
      <c r="K386" s="59"/>
      <c r="L386" s="59"/>
      <c r="M386" s="59"/>
      <c r="N386" s="59"/>
    </row>
    <row r="387" spans="2:14">
      <c r="B387" s="59"/>
      <c r="C387" s="358"/>
      <c r="D387" s="59"/>
      <c r="E387" s="59"/>
      <c r="F387" s="59"/>
      <c r="G387" s="59"/>
      <c r="H387" s="59"/>
      <c r="I387" s="278"/>
      <c r="J387" s="59"/>
      <c r="K387" s="59"/>
      <c r="L387" s="59"/>
      <c r="M387" s="59"/>
      <c r="N387" s="59"/>
    </row>
    <row r="388" spans="2:14">
      <c r="B388" s="59"/>
      <c r="C388" s="358"/>
      <c r="D388" s="59"/>
      <c r="E388" s="59"/>
      <c r="F388" s="59"/>
      <c r="G388" s="59"/>
      <c r="H388" s="59"/>
      <c r="I388" s="278"/>
      <c r="J388" s="59"/>
      <c r="K388" s="59"/>
      <c r="L388" s="59"/>
      <c r="M388" s="59"/>
      <c r="N388" s="59"/>
    </row>
    <row r="389" spans="2:14">
      <c r="B389" s="59"/>
      <c r="C389" s="358"/>
      <c r="D389" s="59"/>
      <c r="E389" s="59"/>
      <c r="F389" s="59"/>
      <c r="G389" s="59"/>
      <c r="H389" s="59"/>
      <c r="I389" s="278"/>
      <c r="J389" s="59"/>
      <c r="K389" s="59"/>
      <c r="L389" s="59"/>
      <c r="M389" s="59"/>
      <c r="N389" s="59"/>
    </row>
    <row r="390" spans="2:14">
      <c r="B390" s="59"/>
      <c r="C390" s="358"/>
      <c r="D390" s="59"/>
      <c r="E390" s="59"/>
      <c r="F390" s="59"/>
      <c r="G390" s="59"/>
      <c r="H390" s="59"/>
      <c r="I390" s="278"/>
      <c r="J390" s="59"/>
      <c r="K390" s="59"/>
      <c r="L390" s="59"/>
      <c r="M390" s="59"/>
      <c r="N390" s="59"/>
    </row>
    <row r="391" spans="2:14">
      <c r="B391" s="59"/>
      <c r="C391" s="358"/>
      <c r="D391" s="59"/>
      <c r="E391" s="59"/>
      <c r="F391" s="59"/>
      <c r="G391" s="59"/>
      <c r="H391" s="59"/>
      <c r="I391" s="278"/>
      <c r="J391" s="59"/>
      <c r="K391" s="59"/>
      <c r="L391" s="59"/>
      <c r="M391" s="59"/>
      <c r="N391" s="59"/>
    </row>
    <row r="392" spans="2:14">
      <c r="B392" s="59"/>
      <c r="C392" s="358"/>
      <c r="D392" s="59"/>
      <c r="E392" s="59"/>
      <c r="F392" s="59"/>
      <c r="G392" s="59"/>
      <c r="H392" s="59"/>
      <c r="I392" s="278"/>
      <c r="J392" s="59"/>
      <c r="K392" s="59"/>
      <c r="L392" s="59"/>
      <c r="M392" s="59"/>
      <c r="N392" s="59"/>
    </row>
    <row r="393" spans="2:14">
      <c r="B393" s="59"/>
      <c r="C393" s="358"/>
      <c r="D393" s="59"/>
      <c r="E393" s="59"/>
      <c r="F393" s="59"/>
      <c r="G393" s="59"/>
      <c r="H393" s="59"/>
      <c r="I393" s="278"/>
      <c r="J393" s="59"/>
      <c r="K393" s="59"/>
      <c r="L393" s="59"/>
      <c r="M393" s="59"/>
      <c r="N393" s="59"/>
    </row>
    <row r="394" spans="2:14">
      <c r="B394" s="59"/>
      <c r="C394" s="358"/>
      <c r="D394" s="59"/>
      <c r="E394" s="59"/>
      <c r="F394" s="59"/>
      <c r="G394" s="59"/>
      <c r="H394" s="59"/>
      <c r="I394" s="278"/>
      <c r="J394" s="59"/>
      <c r="K394" s="59"/>
      <c r="L394" s="59"/>
      <c r="M394" s="59"/>
      <c r="N394" s="59"/>
    </row>
    <row r="395" spans="2:14">
      <c r="B395" s="59"/>
      <c r="C395" s="358"/>
      <c r="D395" s="59"/>
      <c r="E395" s="59"/>
      <c r="F395" s="59"/>
      <c r="G395" s="59"/>
      <c r="H395" s="59"/>
      <c r="I395" s="278"/>
      <c r="J395" s="59"/>
      <c r="K395" s="59"/>
      <c r="L395" s="59"/>
      <c r="M395" s="59"/>
      <c r="N395" s="59"/>
    </row>
    <row r="396" spans="2:14">
      <c r="B396" s="59"/>
      <c r="C396" s="358"/>
      <c r="D396" s="59"/>
      <c r="E396" s="59"/>
      <c r="F396" s="59"/>
      <c r="G396" s="59"/>
      <c r="H396" s="59"/>
      <c r="I396" s="278"/>
      <c r="J396" s="59"/>
      <c r="K396" s="59"/>
      <c r="L396" s="59"/>
      <c r="M396" s="59"/>
      <c r="N396" s="59"/>
    </row>
    <row r="397" spans="2:14">
      <c r="B397" s="59"/>
      <c r="C397" s="358"/>
      <c r="D397" s="59"/>
      <c r="E397" s="59"/>
      <c r="F397" s="59"/>
      <c r="G397" s="59"/>
      <c r="H397" s="59"/>
      <c r="I397" s="278"/>
      <c r="J397" s="59"/>
      <c r="K397" s="59"/>
      <c r="L397" s="59"/>
      <c r="M397" s="59"/>
      <c r="N397" s="59"/>
    </row>
    <row r="398" spans="2:14">
      <c r="B398" s="59"/>
      <c r="C398" s="358"/>
      <c r="D398" s="59"/>
      <c r="E398" s="59"/>
      <c r="F398" s="59"/>
      <c r="G398" s="59"/>
      <c r="H398" s="59"/>
      <c r="I398" s="278"/>
      <c r="J398" s="59"/>
      <c r="K398" s="59"/>
      <c r="L398" s="59"/>
      <c r="M398" s="59"/>
      <c r="N398" s="59"/>
    </row>
    <row r="399" spans="2:14">
      <c r="B399" s="59"/>
      <c r="C399" s="358"/>
      <c r="D399" s="59"/>
      <c r="E399" s="59"/>
      <c r="F399" s="59"/>
      <c r="G399" s="59"/>
      <c r="H399" s="59"/>
      <c r="I399" s="278"/>
      <c r="J399" s="59"/>
      <c r="K399" s="59"/>
      <c r="L399" s="59"/>
      <c r="M399" s="59"/>
      <c r="N399" s="59"/>
    </row>
    <row r="400" spans="2:14">
      <c r="B400" s="59"/>
      <c r="C400" s="358"/>
      <c r="D400" s="59"/>
      <c r="E400" s="59"/>
      <c r="F400" s="59"/>
      <c r="G400" s="59"/>
      <c r="H400" s="59"/>
      <c r="I400" s="278"/>
      <c r="J400" s="59"/>
      <c r="K400" s="59"/>
      <c r="L400" s="59"/>
      <c r="M400" s="59"/>
      <c r="N400" s="59"/>
    </row>
    <row r="401" spans="2:14">
      <c r="B401" s="59"/>
      <c r="C401" s="358"/>
      <c r="D401" s="59"/>
      <c r="E401" s="59"/>
      <c r="F401" s="59"/>
      <c r="G401" s="59"/>
      <c r="H401" s="59"/>
      <c r="I401" s="278"/>
      <c r="J401" s="59"/>
      <c r="K401" s="59"/>
      <c r="L401" s="59"/>
      <c r="M401" s="59"/>
      <c r="N401" s="59"/>
    </row>
    <row r="402" spans="2:14">
      <c r="B402" s="59"/>
      <c r="C402" s="358"/>
      <c r="D402" s="59"/>
      <c r="E402" s="59"/>
      <c r="F402" s="59"/>
      <c r="G402" s="59"/>
      <c r="H402" s="59"/>
      <c r="I402" s="278"/>
      <c r="J402" s="59"/>
      <c r="K402" s="59"/>
      <c r="L402" s="59"/>
      <c r="M402" s="59"/>
      <c r="N402" s="59"/>
    </row>
    <row r="403" spans="2:14">
      <c r="B403" s="59"/>
      <c r="C403" s="358"/>
      <c r="D403" s="59"/>
      <c r="E403" s="59"/>
      <c r="F403" s="59"/>
      <c r="G403" s="59"/>
      <c r="H403" s="59"/>
      <c r="I403" s="278"/>
      <c r="J403" s="59"/>
      <c r="K403" s="59"/>
      <c r="L403" s="59"/>
      <c r="M403" s="59"/>
      <c r="N403" s="59"/>
    </row>
    <row r="404" spans="2:14">
      <c r="B404" s="59"/>
      <c r="C404" s="358"/>
      <c r="D404" s="59"/>
      <c r="E404" s="59"/>
      <c r="F404" s="59"/>
      <c r="G404" s="59"/>
      <c r="H404" s="59"/>
      <c r="I404" s="278"/>
      <c r="J404" s="59"/>
      <c r="K404" s="59"/>
      <c r="L404" s="59"/>
      <c r="M404" s="59"/>
      <c r="N404" s="59"/>
    </row>
    <row r="405" spans="2:14">
      <c r="B405" s="59"/>
      <c r="C405" s="358"/>
      <c r="D405" s="59"/>
      <c r="E405" s="59"/>
      <c r="F405" s="59"/>
      <c r="G405" s="59"/>
      <c r="H405" s="59"/>
      <c r="I405" s="278"/>
      <c r="J405" s="59"/>
      <c r="K405" s="59"/>
      <c r="L405" s="59"/>
      <c r="M405" s="59"/>
      <c r="N405" s="59"/>
    </row>
    <row r="406" spans="2:14">
      <c r="B406" s="59"/>
      <c r="C406" s="358"/>
      <c r="D406" s="59"/>
      <c r="E406" s="59"/>
      <c r="F406" s="59"/>
      <c r="G406" s="59"/>
      <c r="H406" s="59"/>
      <c r="I406" s="278"/>
      <c r="J406" s="59"/>
      <c r="K406" s="59"/>
      <c r="L406" s="59"/>
      <c r="M406" s="59"/>
      <c r="N406" s="59"/>
    </row>
    <row r="407" spans="2:14">
      <c r="B407" s="59"/>
      <c r="C407" s="358"/>
      <c r="D407" s="59"/>
      <c r="E407" s="59"/>
      <c r="F407" s="59"/>
      <c r="G407" s="59"/>
      <c r="H407" s="59"/>
      <c r="I407" s="278"/>
      <c r="J407" s="59"/>
      <c r="K407" s="59"/>
      <c r="L407" s="59"/>
      <c r="M407" s="59"/>
      <c r="N407" s="59"/>
    </row>
    <row r="408" spans="2:14">
      <c r="B408" s="59"/>
      <c r="C408" s="358"/>
      <c r="D408" s="59"/>
      <c r="E408" s="59"/>
      <c r="F408" s="59"/>
      <c r="G408" s="59"/>
      <c r="H408" s="59"/>
      <c r="I408" s="278"/>
      <c r="J408" s="59"/>
      <c r="K408" s="59"/>
      <c r="L408" s="59"/>
      <c r="M408" s="59"/>
      <c r="N408" s="59"/>
    </row>
    <row r="409" spans="2:14">
      <c r="B409" s="59"/>
      <c r="C409" s="358"/>
      <c r="D409" s="59"/>
      <c r="E409" s="59"/>
      <c r="F409" s="59"/>
      <c r="G409" s="59"/>
      <c r="H409" s="59"/>
      <c r="I409" s="278"/>
      <c r="J409" s="59"/>
      <c r="K409" s="59"/>
      <c r="L409" s="59"/>
      <c r="M409" s="59"/>
      <c r="N409" s="59"/>
    </row>
    <row r="410" spans="2:14">
      <c r="B410" s="59"/>
      <c r="C410" s="358"/>
      <c r="D410" s="59"/>
      <c r="E410" s="59"/>
      <c r="F410" s="59"/>
      <c r="G410" s="59"/>
      <c r="H410" s="59"/>
      <c r="I410" s="278"/>
      <c r="J410" s="59"/>
      <c r="K410" s="59"/>
      <c r="L410" s="59"/>
      <c r="M410" s="59"/>
      <c r="N410" s="59"/>
    </row>
    <row r="411" spans="2:14">
      <c r="B411" s="59"/>
      <c r="C411" s="358"/>
      <c r="D411" s="59"/>
      <c r="E411" s="59"/>
      <c r="F411" s="59"/>
      <c r="G411" s="59"/>
      <c r="H411" s="59"/>
      <c r="I411" s="278"/>
      <c r="J411" s="59"/>
      <c r="K411" s="59"/>
      <c r="L411" s="59"/>
      <c r="M411" s="59"/>
      <c r="N411" s="59"/>
    </row>
    <row r="412" spans="2:14">
      <c r="I412" s="195"/>
    </row>
    <row r="413" spans="2:14">
      <c r="I413" s="195"/>
    </row>
    <row r="414" spans="2:14">
      <c r="I414" s="195"/>
    </row>
    <row r="415" spans="2:14">
      <c r="I415" s="195"/>
    </row>
    <row r="416" spans="2:14">
      <c r="I416" s="195"/>
    </row>
    <row r="417" spans="9:9">
      <c r="I417" s="195"/>
    </row>
    <row r="418" spans="9:9">
      <c r="I418" s="195"/>
    </row>
    <row r="419" spans="9:9">
      <c r="I419" s="195"/>
    </row>
    <row r="420" spans="9:9">
      <c r="I420" s="195"/>
    </row>
    <row r="421" spans="9:9">
      <c r="I421" s="195"/>
    </row>
    <row r="422" spans="9:9">
      <c r="I422" s="195"/>
    </row>
    <row r="423" spans="9:9">
      <c r="I423" s="195"/>
    </row>
    <row r="424" spans="9:9">
      <c r="I424" s="195"/>
    </row>
    <row r="425" spans="9:9">
      <c r="I425" s="195"/>
    </row>
    <row r="426" spans="9:9">
      <c r="I426" s="195"/>
    </row>
    <row r="427" spans="9:9">
      <c r="I427" s="195"/>
    </row>
    <row r="428" spans="9:9">
      <c r="I428" s="195"/>
    </row>
    <row r="429" spans="9:9">
      <c r="I429" s="195"/>
    </row>
    <row r="430" spans="9:9">
      <c r="I430" s="195"/>
    </row>
    <row r="431" spans="9:9">
      <c r="I431" s="195"/>
    </row>
    <row r="432" spans="9:9">
      <c r="I432" s="195"/>
    </row>
    <row r="433" spans="9:9">
      <c r="I433" s="195"/>
    </row>
    <row r="434" spans="9:9">
      <c r="I434" s="195"/>
    </row>
    <row r="435" spans="9:9">
      <c r="I435" s="195"/>
    </row>
    <row r="436" spans="9:9">
      <c r="I436" s="195"/>
    </row>
    <row r="437" spans="9:9">
      <c r="I437" s="195"/>
    </row>
    <row r="438" spans="9:9">
      <c r="I438" s="195"/>
    </row>
    <row r="439" spans="9:9">
      <c r="I439" s="195"/>
    </row>
    <row r="440" spans="9:9">
      <c r="I440" s="195"/>
    </row>
    <row r="441" spans="9:9">
      <c r="I441" s="195"/>
    </row>
    <row r="442" spans="9:9">
      <c r="I442" s="195"/>
    </row>
    <row r="443" spans="9:9">
      <c r="I443" s="195"/>
    </row>
    <row r="444" spans="9:9">
      <c r="I444" s="195"/>
    </row>
    <row r="445" spans="9:9">
      <c r="I445" s="195"/>
    </row>
    <row r="446" spans="9:9">
      <c r="I446" s="195"/>
    </row>
    <row r="447" spans="9:9">
      <c r="I447" s="195"/>
    </row>
    <row r="448" spans="9:9">
      <c r="I448" s="195"/>
    </row>
    <row r="449" spans="9:9">
      <c r="I449" s="195"/>
    </row>
    <row r="450" spans="9:9">
      <c r="I450" s="195"/>
    </row>
    <row r="451" spans="9:9">
      <c r="I451" s="195"/>
    </row>
    <row r="452" spans="9:9">
      <c r="I452" s="195"/>
    </row>
    <row r="453" spans="9:9">
      <c r="I453" s="195"/>
    </row>
    <row r="454" spans="9:9">
      <c r="I454" s="195"/>
    </row>
    <row r="455" spans="9:9">
      <c r="I455" s="195"/>
    </row>
    <row r="456" spans="9:9">
      <c r="I456" s="195"/>
    </row>
    <row r="457" spans="9:9">
      <c r="I457" s="195"/>
    </row>
    <row r="458" spans="9:9">
      <c r="I458" s="195"/>
    </row>
    <row r="459" spans="9:9">
      <c r="I459" s="195"/>
    </row>
    <row r="460" spans="9:9">
      <c r="I460" s="195"/>
    </row>
    <row r="461" spans="9:9">
      <c r="I461" s="195"/>
    </row>
    <row r="462" spans="9:9">
      <c r="I462" s="195"/>
    </row>
    <row r="463" spans="9:9">
      <c r="I463" s="195"/>
    </row>
    <row r="464" spans="9:9">
      <c r="I464" s="195"/>
    </row>
    <row r="465" spans="9:9">
      <c r="I465" s="195"/>
    </row>
  </sheetData>
  <conditionalFormatting sqref="D2">
    <cfRule type="duplicateValues" dxfId="50" priority="107"/>
  </conditionalFormatting>
  <conditionalFormatting sqref="K1 M2:M114 M119:M134 M136:M148 L149:M149 M150:M163 K412:K1048576">
    <cfRule type="cellIs" dxfId="49" priority="103" operator="lessThan">
      <formula>0</formula>
    </cfRule>
    <cfRule type="cellIs" priority="104" operator="lessThan">
      <formula>0</formula>
    </cfRule>
    <cfRule type="cellIs" dxfId="48" priority="105" operator="greaterThan">
      <formula>0</formula>
    </cfRule>
  </conditionalFormatting>
  <conditionalFormatting sqref="M116:M117">
    <cfRule type="cellIs" dxfId="47" priority="100" operator="lessThan">
      <formula>0</formula>
    </cfRule>
    <cfRule type="cellIs" priority="101" operator="lessThan">
      <formula>0</formula>
    </cfRule>
    <cfRule type="cellIs" dxfId="46" priority="102" operator="greaterThan">
      <formula>0</formula>
    </cfRule>
  </conditionalFormatting>
  <conditionalFormatting sqref="M166">
    <cfRule type="cellIs" dxfId="45" priority="97" operator="lessThan">
      <formula>0</formula>
    </cfRule>
    <cfRule type="cellIs" priority="98" operator="lessThan">
      <formula>0</formula>
    </cfRule>
    <cfRule type="cellIs" dxfId="44" priority="99" operator="greaterThan">
      <formula>0</formula>
    </cfRule>
  </conditionalFormatting>
  <conditionalFormatting sqref="M170">
    <cfRule type="cellIs" dxfId="43" priority="94" operator="lessThan">
      <formula>0</formula>
    </cfRule>
    <cfRule type="cellIs" priority="95" operator="lessThan">
      <formula>0</formula>
    </cfRule>
    <cfRule type="cellIs" dxfId="42" priority="96" operator="greaterThan">
      <formula>0</formula>
    </cfRule>
  </conditionalFormatting>
  <conditionalFormatting sqref="M173">
    <cfRule type="cellIs" dxfId="41" priority="91" operator="lessThan">
      <formula>0</formula>
    </cfRule>
    <cfRule type="cellIs" priority="92" operator="lessThan">
      <formula>0</formula>
    </cfRule>
    <cfRule type="cellIs" dxfId="40" priority="93" operator="greaterThan">
      <formula>0</formula>
    </cfRule>
  </conditionalFormatting>
  <conditionalFormatting sqref="M176:M181">
    <cfRule type="cellIs" dxfId="39" priority="67" operator="lessThan">
      <formula>0</formula>
    </cfRule>
    <cfRule type="cellIs" priority="68" operator="lessThan">
      <formula>0</formula>
    </cfRule>
    <cfRule type="cellIs" dxfId="38" priority="69" operator="greaterThan">
      <formula>0</formula>
    </cfRule>
  </conditionalFormatting>
  <conditionalFormatting sqref="M186">
    <cfRule type="cellIs" dxfId="37" priority="88" operator="lessThan">
      <formula>0</formula>
    </cfRule>
    <cfRule type="cellIs" priority="89" operator="lessThan">
      <formula>0</formula>
    </cfRule>
    <cfRule type="cellIs" dxfId="36" priority="90" operator="greaterThan">
      <formula>0</formula>
    </cfRule>
  </conditionalFormatting>
  <conditionalFormatting sqref="M192">
    <cfRule type="cellIs" dxfId="35" priority="64" operator="lessThan">
      <formula>0</formula>
    </cfRule>
    <cfRule type="cellIs" priority="65" operator="lessThan">
      <formula>0</formula>
    </cfRule>
    <cfRule type="cellIs" dxfId="34" priority="66" operator="greaterThan">
      <formula>0</formula>
    </cfRule>
  </conditionalFormatting>
  <conditionalFormatting sqref="M195:M196">
    <cfRule type="cellIs" dxfId="33" priority="79" operator="lessThan">
      <formula>0</formula>
    </cfRule>
    <cfRule type="cellIs" priority="80" operator="lessThan">
      <formula>0</formula>
    </cfRule>
    <cfRule type="cellIs" dxfId="32" priority="81" operator="greaterThan">
      <formula>0</formula>
    </cfRule>
  </conditionalFormatting>
  <conditionalFormatting sqref="M200">
    <cfRule type="cellIs" dxfId="31" priority="76" operator="lessThan">
      <formula>0</formula>
    </cfRule>
    <cfRule type="cellIs" priority="77" operator="lessThan">
      <formula>0</formula>
    </cfRule>
    <cfRule type="cellIs" dxfId="30" priority="78" operator="greaterThan">
      <formula>0</formula>
    </cfRule>
  </conditionalFormatting>
  <conditionalFormatting sqref="M216:M218">
    <cfRule type="cellIs" dxfId="29" priority="37" operator="lessThan">
      <formula>0</formula>
    </cfRule>
    <cfRule type="cellIs" priority="38" operator="lessThan">
      <formula>0</formula>
    </cfRule>
    <cfRule type="cellIs" dxfId="28" priority="39" operator="greaterThan">
      <formula>0</formula>
    </cfRule>
  </conditionalFormatting>
  <conditionalFormatting sqref="M221:M222">
    <cfRule type="cellIs" dxfId="27" priority="58" operator="lessThan">
      <formula>0</formula>
    </cfRule>
    <cfRule type="cellIs" priority="59" operator="lessThan">
      <formula>0</formula>
    </cfRule>
    <cfRule type="cellIs" dxfId="26" priority="60" operator="greaterThan">
      <formula>0</formula>
    </cfRule>
  </conditionalFormatting>
  <conditionalFormatting sqref="M225:M226">
    <cfRule type="cellIs" dxfId="25" priority="43" operator="lessThan">
      <formula>0</formula>
    </cfRule>
    <cfRule type="cellIs" priority="44" operator="lessThan">
      <formula>0</formula>
    </cfRule>
    <cfRule type="cellIs" dxfId="24" priority="45" operator="greaterThan">
      <formula>0</formula>
    </cfRule>
  </conditionalFormatting>
  <conditionalFormatting sqref="M229:M230">
    <cfRule type="cellIs" dxfId="23" priority="52" operator="lessThan">
      <formula>0</formula>
    </cfRule>
    <cfRule type="cellIs" priority="53" operator="lessThan">
      <formula>0</formula>
    </cfRule>
    <cfRule type="cellIs" dxfId="22" priority="54" operator="greaterThan">
      <formula>0</formula>
    </cfRule>
  </conditionalFormatting>
  <conditionalFormatting sqref="M235">
    <cfRule type="cellIs" dxfId="21" priority="46" operator="lessThan">
      <formula>0</formula>
    </cfRule>
    <cfRule type="cellIs" priority="47" operator="lessThan">
      <formula>0</formula>
    </cfRule>
    <cfRule type="cellIs" dxfId="20" priority="48" operator="greaterThan">
      <formula>0</formula>
    </cfRule>
  </conditionalFormatting>
  <conditionalFormatting sqref="M237">
    <cfRule type="cellIs" dxfId="19" priority="49" operator="lessThan">
      <formula>0</formula>
    </cfRule>
    <cfRule type="cellIs" priority="50" operator="lessThan">
      <formula>0</formula>
    </cfRule>
    <cfRule type="cellIs" dxfId="18" priority="51" operator="greaterThan">
      <formula>0</formula>
    </cfRule>
  </conditionalFormatting>
  <conditionalFormatting sqref="M239">
    <cfRule type="cellIs" dxfId="17" priority="40" operator="lessThan">
      <formula>0</formula>
    </cfRule>
    <cfRule type="cellIs" priority="41" operator="lessThan">
      <formula>0</formula>
    </cfRule>
    <cfRule type="cellIs" dxfId="16" priority="42" operator="greaterThan">
      <formula>0</formula>
    </cfRule>
  </conditionalFormatting>
  <conditionalFormatting sqref="M242">
    <cfRule type="cellIs" dxfId="15" priority="34" operator="lessThan">
      <formula>0</formula>
    </cfRule>
    <cfRule type="cellIs" priority="35" operator="lessThan">
      <formula>0</formula>
    </cfRule>
    <cfRule type="cellIs" dxfId="14" priority="36" operator="greaterThan">
      <formula>0</formula>
    </cfRule>
  </conditionalFormatting>
  <conditionalFormatting sqref="M256">
    <cfRule type="cellIs" dxfId="13" priority="19" operator="lessThan">
      <formula>0</formula>
    </cfRule>
    <cfRule type="cellIs" priority="20" operator="lessThan">
      <formula>0</formula>
    </cfRule>
    <cfRule type="cellIs" dxfId="12" priority="21" operator="greaterThan">
      <formula>0</formula>
    </cfRule>
  </conditionalFormatting>
  <conditionalFormatting sqref="M261">
    <cfRule type="cellIs" dxfId="11" priority="1" operator="lessThan">
      <formula>0</formula>
    </cfRule>
    <cfRule type="cellIs" priority="2" operator="lessThan">
      <formula>0</formula>
    </cfRule>
    <cfRule type="cellIs" dxfId="10" priority="3" operator="greaterThan">
      <formula>0</formula>
    </cfRule>
  </conditionalFormatting>
  <conditionalFormatting sqref="M264:M265">
    <cfRule type="cellIs" dxfId="9" priority="16" operator="lessThan">
      <formula>0</formula>
    </cfRule>
    <cfRule type="cellIs" priority="17" operator="lessThan">
      <formula>0</formula>
    </cfRule>
    <cfRule type="cellIs" dxfId="8" priority="18" operator="greaterThan">
      <formula>0</formula>
    </cfRule>
  </conditionalFormatting>
  <conditionalFormatting sqref="M269">
    <cfRule type="cellIs" dxfId="7" priority="13" operator="lessThan">
      <formula>0</formula>
    </cfRule>
    <cfRule type="cellIs" priority="14" operator="lessThan">
      <formula>0</formula>
    </cfRule>
    <cfRule type="cellIs" dxfId="6" priority="15" operator="greaterThan">
      <formula>0</formula>
    </cfRule>
  </conditionalFormatting>
  <conditionalFormatting sqref="M275">
    <cfRule type="cellIs" dxfId="5" priority="4" operator="lessThan">
      <formula>0</formula>
    </cfRule>
    <cfRule type="cellIs" priority="5" operator="lessThan">
      <formula>0</formula>
    </cfRule>
    <cfRule type="cellIs" dxfId="4" priority="6" operator="greaterThan">
      <formula>0</formula>
    </cfRule>
  </conditionalFormatting>
  <conditionalFormatting sqref="M277">
    <cfRule type="cellIs" dxfId="3" priority="7" operator="lessThan">
      <formula>0</formula>
    </cfRule>
    <cfRule type="cellIs" priority="8" operator="lessThan">
      <formula>0</formula>
    </cfRule>
    <cfRule type="cellIs" dxfId="2" priority="9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J9"/>
  <sheetViews>
    <sheetView workbookViewId="0">
      <selection activeCell="J5" sqref="J5"/>
    </sheetView>
  </sheetViews>
  <sheetFormatPr baseColWidth="10" defaultColWidth="8.83203125" defaultRowHeight="15"/>
  <cols>
    <col min="1" max="1" width="12.6640625" bestFit="1" customWidth="1"/>
    <col min="2" max="2" width="18.83203125" style="373" customWidth="1"/>
    <col min="3" max="3" width="16.5" customWidth="1"/>
    <col min="4" max="4" width="30.33203125" customWidth="1"/>
    <col min="5" max="5" width="21.5" customWidth="1"/>
    <col min="6" max="6" width="23" customWidth="1"/>
    <col min="7" max="7" width="29.33203125" customWidth="1"/>
    <col min="8" max="8" width="14.5" bestFit="1" customWidth="1"/>
    <col min="9" max="9" width="19.33203125" customWidth="1"/>
    <col min="10" max="10" width="21.1640625" customWidth="1"/>
  </cols>
  <sheetData>
    <row r="1" spans="1:10" ht="47.25" customHeight="1">
      <c r="A1" s="370" t="s">
        <v>259</v>
      </c>
      <c r="B1" s="372" t="s">
        <v>375</v>
      </c>
      <c r="C1" s="371" t="s">
        <v>257</v>
      </c>
      <c r="D1" s="369" t="s">
        <v>26</v>
      </c>
      <c r="E1" s="369" t="s">
        <v>376</v>
      </c>
      <c r="F1" s="369" t="s">
        <v>377</v>
      </c>
      <c r="G1" s="369" t="s">
        <v>378</v>
      </c>
      <c r="H1" s="369" t="s">
        <v>379</v>
      </c>
      <c r="I1" s="369" t="s">
        <v>380</v>
      </c>
      <c r="J1" s="369" t="s">
        <v>381</v>
      </c>
    </row>
    <row r="2" spans="1:10" ht="47.25" customHeight="1">
      <c r="A2" s="355" t="s">
        <v>297</v>
      </c>
      <c r="B2" s="62">
        <v>46119</v>
      </c>
      <c r="C2" s="12" t="s">
        <v>382</v>
      </c>
      <c r="D2" s="12" t="s">
        <v>383</v>
      </c>
      <c r="E2" s="12" t="s">
        <v>384</v>
      </c>
      <c r="F2" s="181" t="s">
        <v>385</v>
      </c>
      <c r="G2" s="181" t="s">
        <v>386</v>
      </c>
      <c r="H2" s="181" t="s">
        <v>387</v>
      </c>
      <c r="I2" s="52"/>
      <c r="J2" s="181"/>
    </row>
    <row r="3" spans="1:10" ht="47.25" customHeight="1">
      <c r="A3" s="361" t="s">
        <v>297</v>
      </c>
      <c r="B3" s="62">
        <v>46119</v>
      </c>
      <c r="C3" s="142" t="s">
        <v>388</v>
      </c>
      <c r="D3" s="142" t="s">
        <v>389</v>
      </c>
      <c r="E3" s="142" t="s">
        <v>390</v>
      </c>
      <c r="F3" s="303" t="s">
        <v>391</v>
      </c>
      <c r="G3" s="181" t="s">
        <v>392</v>
      </c>
      <c r="H3" s="181" t="s">
        <v>387</v>
      </c>
      <c r="I3" s="375"/>
      <c r="J3" s="303"/>
    </row>
    <row r="4" spans="1:10" ht="47.25" customHeight="1">
      <c r="A4" s="361" t="s">
        <v>297</v>
      </c>
      <c r="B4" s="62">
        <v>46119</v>
      </c>
      <c r="C4" s="142" t="s">
        <v>393</v>
      </c>
      <c r="D4" s="204" t="s">
        <v>394</v>
      </c>
      <c r="E4" s="142" t="s">
        <v>395</v>
      </c>
      <c r="F4" s="305"/>
      <c r="G4" s="306"/>
      <c r="H4" s="306"/>
      <c r="I4" s="376"/>
      <c r="J4" s="305" t="s">
        <v>396</v>
      </c>
    </row>
    <row r="5" spans="1:10" ht="47.25" customHeight="1">
      <c r="A5" s="361" t="s">
        <v>297</v>
      </c>
      <c r="B5" s="62">
        <v>46116</v>
      </c>
      <c r="C5" s="12" t="s">
        <v>397</v>
      </c>
      <c r="D5" s="12" t="s">
        <v>398</v>
      </c>
      <c r="E5" s="142" t="s">
        <v>390</v>
      </c>
      <c r="F5" s="306" t="s">
        <v>399</v>
      </c>
      <c r="G5" s="181" t="s">
        <v>400</v>
      </c>
      <c r="H5" s="181" t="s">
        <v>387</v>
      </c>
      <c r="I5" s="52"/>
      <c r="J5" s="181"/>
    </row>
    <row r="6" spans="1:10" ht="47.25" customHeight="1">
      <c r="A6" s="355" t="s">
        <v>279</v>
      </c>
      <c r="B6" s="62">
        <v>46119</v>
      </c>
      <c r="C6" s="173" t="s">
        <v>401</v>
      </c>
      <c r="D6" s="173" t="s">
        <v>402</v>
      </c>
      <c r="E6" s="173" t="s">
        <v>403</v>
      </c>
      <c r="F6" s="181" t="s">
        <v>404</v>
      </c>
      <c r="G6" s="351"/>
      <c r="H6" s="181" t="s">
        <v>387</v>
      </c>
      <c r="I6" s="377"/>
      <c r="J6" s="351"/>
    </row>
    <row r="7" spans="1:10" ht="47.25" customHeight="1">
      <c r="A7" s="355"/>
      <c r="B7" s="62"/>
      <c r="C7" s="173" t="s">
        <v>405</v>
      </c>
      <c r="D7" s="173" t="s">
        <v>406</v>
      </c>
      <c r="E7" s="173" t="s">
        <v>407</v>
      </c>
      <c r="F7" s="295" t="s">
        <v>408</v>
      </c>
      <c r="G7" s="181" t="s">
        <v>409</v>
      </c>
      <c r="H7" s="181"/>
      <c r="I7" s="52"/>
      <c r="J7" s="181"/>
    </row>
    <row r="8" spans="1:10" ht="47.25" customHeight="1">
      <c r="A8" s="355"/>
      <c r="B8" s="62"/>
      <c r="C8" s="173"/>
      <c r="D8" s="173"/>
      <c r="E8" s="173"/>
      <c r="F8" s="295"/>
      <c r="G8" s="181" t="s">
        <v>410</v>
      </c>
      <c r="H8" s="181"/>
      <c r="I8" s="52"/>
      <c r="J8" s="181"/>
    </row>
    <row r="9" spans="1:10" ht="47.25" customHeight="1">
      <c r="A9" s="355"/>
      <c r="B9" s="62"/>
      <c r="C9" s="12"/>
      <c r="D9" s="12"/>
      <c r="E9" s="12"/>
      <c r="F9" s="181"/>
      <c r="G9" s="181"/>
      <c r="H9" s="181"/>
      <c r="I9" s="52"/>
      <c r="J9" s="181"/>
    </row>
  </sheetData>
  <conditionalFormatting sqref="C1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  <outlinePr summaryBelow="0" summaryRight="0"/>
  </sheetPr>
  <dimension ref="A1:L14"/>
  <sheetViews>
    <sheetView zoomScale="119" zoomScaleNormal="119" workbookViewId="0">
      <selection activeCell="G10" sqref="G10"/>
    </sheetView>
  </sheetViews>
  <sheetFormatPr baseColWidth="10" defaultColWidth="14.5" defaultRowHeight="15" customHeight="1"/>
  <cols>
    <col min="1" max="1" width="16.1640625" customWidth="1"/>
    <col min="2" max="2" width="17.83203125" bestFit="1" customWidth="1"/>
    <col min="3" max="3" width="16.83203125" bestFit="1" customWidth="1"/>
    <col min="4" max="4" width="15.83203125" customWidth="1"/>
    <col min="5" max="5" width="18" customWidth="1"/>
    <col min="6" max="6" width="23.33203125" bestFit="1" customWidth="1"/>
    <col min="7" max="7" width="16.33203125" customWidth="1"/>
    <col min="8" max="10" width="10.33203125" customWidth="1"/>
  </cols>
  <sheetData>
    <row r="1" spans="1:12" ht="25" customHeight="1">
      <c r="A1" s="334" t="s">
        <v>411</v>
      </c>
      <c r="B1" s="335" t="s">
        <v>412</v>
      </c>
      <c r="C1" s="335" t="s">
        <v>413</v>
      </c>
      <c r="D1" s="335" t="s">
        <v>414</v>
      </c>
      <c r="E1" s="335" t="s">
        <v>415</v>
      </c>
      <c r="F1" s="335" t="s">
        <v>416</v>
      </c>
      <c r="G1" s="57" t="s">
        <v>417</v>
      </c>
    </row>
    <row r="2" spans="1:12" ht="28" customHeight="1">
      <c r="A2" s="56" t="s">
        <v>113</v>
      </c>
      <c r="B2" s="35">
        <f>24531.81+7000</f>
        <v>31531.81</v>
      </c>
      <c r="C2" s="35">
        <v>0</v>
      </c>
      <c r="D2" s="336">
        <f>(Table19[[#This Row],[Initial Balance]]+Table19[[#This Row],[Total Profit (since Nov-25)]])-Table19[[#This Row],[Capital Returned]]</f>
        <v>42250.049583333333</v>
      </c>
      <c r="E2" s="35">
        <f>SUM('Stock Data'!K262,'Stock Data'!K263,'Stock Data'!K270,'Stock Data'!K271,'Stock Data'!K286)</f>
        <v>33393.274999999994</v>
      </c>
      <c r="F2" s="35">
        <f>SUMIF(Table13[[#All],[MP/Investor Name]],'Sold Stock'!E49,Table13[[#All],[Investor Profit]])</f>
        <v>10718.239583333334</v>
      </c>
      <c r="G2" s="349">
        <f>Table19[[#This Row],[Total Balance]]-Table19[[#This Row],[Purchased]]</f>
        <v>8856.7745833333393</v>
      </c>
      <c r="H2" s="350"/>
    </row>
    <row r="3" spans="1:12" ht="28" customHeight="1">
      <c r="A3" s="56" t="s">
        <v>125</v>
      </c>
      <c r="B3" s="237">
        <f>18905.56+5000</f>
        <v>23905.56</v>
      </c>
      <c r="C3" s="35">
        <v>0</v>
      </c>
      <c r="D3" s="336">
        <f>(Table19[[#This Row],[Initial Balance]]+Table19[[#This Row],[Total Profit (since Nov-25)]])-Table19[[#This Row],[Capital Returned]]</f>
        <v>30862.170583333333</v>
      </c>
      <c r="E3" s="35">
        <f>SUM('Stock Data'!K215,'Stock Data'!K220,'Stock Data'!K245,'Stock Data'!K285)</f>
        <v>26829.949999999997</v>
      </c>
      <c r="F3" s="35">
        <f>SUMIF(Table13[[#All],[MP/Investor Name]],'Sold Stock'!E55,Table13[[#All],[Investor Profit]])</f>
        <v>6956.6105833333331</v>
      </c>
      <c r="G3" s="349">
        <f>Table19[[#This Row],[Total Balance]]-Table19[[#This Row],[Purchased]]</f>
        <v>4032.2205833333355</v>
      </c>
    </row>
    <row r="4" spans="1:12" ht="28" customHeight="1">
      <c r="A4" s="56" t="s">
        <v>129</v>
      </c>
      <c r="B4" s="35">
        <f>18460.57+18000</f>
        <v>36460.57</v>
      </c>
      <c r="C4" s="35">
        <v>548.41</v>
      </c>
      <c r="D4" s="336">
        <f>(Table19[[#This Row],[Initial Balance]]+Table19[[#This Row],[Total Profit (since Nov-25)]])-Table19[[#This Row],[Capital Returned]]</f>
        <v>47209.494999999995</v>
      </c>
      <c r="E4" s="35">
        <f>SUM('Stock Data'!K268,'Stock Data'!K279,'Stock Data'!K288,'Stock Data'!K289)</f>
        <v>32758.29</v>
      </c>
      <c r="F4" s="35">
        <f>SUMIF(Table13[[#All],[MP/Investor Name]],'Sold Stock'!E57,Table13[[#All],[Investor Profit]])</f>
        <v>11297.334999999999</v>
      </c>
      <c r="G4" s="349">
        <f>Table19[[#This Row],[Total Balance]]-Table19[[#This Row],[Purchased]]</f>
        <v>14451.204999999994</v>
      </c>
      <c r="H4" s="350"/>
      <c r="L4" s="378"/>
    </row>
    <row r="5" spans="1:12" ht="28" customHeight="1">
      <c r="A5" s="56" t="s">
        <v>106</v>
      </c>
      <c r="B5" s="35">
        <v>4346.8</v>
      </c>
      <c r="C5" s="35">
        <v>458.74</v>
      </c>
      <c r="D5" s="336">
        <f>(Table19[[#This Row],[Initial Balance]]+Table19[[#This Row],[Total Profit (since Nov-25)]])-Table19[[#This Row],[Capital Returned]]</f>
        <v>5104.0896666666667</v>
      </c>
      <c r="E5" s="35">
        <f>'Stock Data'!K234</f>
        <v>5558.93</v>
      </c>
      <c r="F5" s="35">
        <f>SUMIF(Table13[MP/Investor Name],'Sold Stock'!E47,Table13[Investor Profit])</f>
        <v>1216.0296666666666</v>
      </c>
      <c r="G5" s="349">
        <f>Table19[[#This Row],[Total Balance]]-Table19[[#This Row],[Purchased]]</f>
        <v>-454.84033333333355</v>
      </c>
    </row>
    <row r="6" spans="1:12" ht="28" customHeight="1">
      <c r="A6" s="56" t="s">
        <v>110</v>
      </c>
      <c r="B6" s="237">
        <v>20000</v>
      </c>
      <c r="C6" s="237">
        <v>1326.28</v>
      </c>
      <c r="D6" s="336">
        <f>(Table19[[#This Row],[Initial Balance]]+Table19[[#This Row],[Total Profit (since Nov-25)]])-Table19[[#This Row],[Capital Returned]]</f>
        <v>25507.26466666667</v>
      </c>
      <c r="E6" s="35">
        <f>'Stock Data'!K276</f>
        <v>6701.75</v>
      </c>
      <c r="F6" s="35">
        <f>SUMIF(Table13[MP/Investor Name],'Sold Stock'!E48,Table13[Investor Profit])</f>
        <v>6833.5446666666667</v>
      </c>
      <c r="G6" s="349">
        <f>Table19[[#This Row],[Total Balance]]-Table19[[#This Row],[Purchased]]</f>
        <v>18805.51466666667</v>
      </c>
      <c r="I6" s="61"/>
    </row>
    <row r="7" spans="1:12" ht="28" customHeight="1">
      <c r="A7" s="56" t="s">
        <v>312</v>
      </c>
      <c r="B7" s="237">
        <v>15000</v>
      </c>
      <c r="C7" s="237">
        <v>623.23</v>
      </c>
      <c r="D7" s="336">
        <f>(Table19[[#This Row],[Initial Balance]]+Table19[[#This Row],[Total Profit (since Nov-25)]])-Table19[[#This Row],[Capital Returned]]</f>
        <v>15000</v>
      </c>
      <c r="E7" s="237">
        <f>'Stock Data'!K244+'Stock Data'!K250</f>
        <v>12412.79</v>
      </c>
      <c r="F7" s="35">
        <v>623.23</v>
      </c>
      <c r="G7" s="349">
        <f>Table19[[#This Row],[Total Balance]]-Table19[[#This Row],[Purchased]]</f>
        <v>2587.2099999999991</v>
      </c>
    </row>
    <row r="8" spans="1:12" ht="28" customHeight="1">
      <c r="A8" s="56" t="s">
        <v>418</v>
      </c>
      <c r="B8" s="237">
        <v>10000</v>
      </c>
      <c r="C8" s="237"/>
      <c r="D8" s="336">
        <f>(Table19[[#This Row],[Initial Balance]]+Table19[[#This Row],[Total Profit (since Nov-25)]])-Table19[[#This Row],[Capital Returned]]</f>
        <v>10000</v>
      </c>
      <c r="E8" s="35"/>
      <c r="F8" s="35"/>
      <c r="G8" s="349">
        <f>Table19[[#This Row],[Total Balance]]-Table19[[#This Row],[Purchased]]</f>
        <v>10000</v>
      </c>
    </row>
    <row r="9" spans="1:12" ht="13" customHeight="1">
      <c r="A9" s="56"/>
      <c r="B9" s="56"/>
      <c r="C9" s="56"/>
      <c r="D9" s="56"/>
      <c r="E9" s="56"/>
      <c r="F9" s="56"/>
      <c r="G9" s="56"/>
    </row>
    <row r="10" spans="1:12" ht="29.5" customHeight="1" thickBot="1">
      <c r="C10" s="78" t="s">
        <v>419</v>
      </c>
      <c r="D10" s="146">
        <f>SUM(D2:D8)</f>
        <v>175933.06949999998</v>
      </c>
      <c r="E10" s="55"/>
      <c r="F10" s="78" t="s">
        <v>420</v>
      </c>
      <c r="G10" s="146">
        <f>SUMIF(G2:G9, "&gt;5000")</f>
        <v>52113.494250000003</v>
      </c>
    </row>
    <row r="11" spans="1:12" ht="15" customHeight="1" thickTop="1"/>
    <row r="12" spans="1:12"/>
    <row r="13" spans="1:12" ht="15" customHeight="1">
      <c r="D13" s="195"/>
    </row>
    <row r="14" spans="1:12" ht="15" customHeight="1">
      <c r="L14" s="350"/>
    </row>
  </sheetData>
  <pageMargins left="0.7" right="0.7" top="0.75" bottom="0.75" header="0" footer="0"/>
  <pageSetup paperSize="9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H16"/>
  <sheetViews>
    <sheetView topLeftCell="C1" zoomScale="111" zoomScaleNormal="175" workbookViewId="0">
      <selection activeCell="E7" sqref="E7"/>
    </sheetView>
  </sheetViews>
  <sheetFormatPr baseColWidth="10" defaultColWidth="8.83203125" defaultRowHeight="15"/>
  <cols>
    <col min="1" max="2" width="17.5" customWidth="1"/>
    <col min="3" max="3" width="22.83203125" customWidth="1"/>
    <col min="4" max="5" width="17.5" customWidth="1"/>
    <col min="6" max="6" width="17.5" style="61" customWidth="1"/>
    <col min="7" max="7" width="17.5" customWidth="1"/>
    <col min="8" max="8" width="55.83203125" customWidth="1"/>
  </cols>
  <sheetData>
    <row r="1" spans="1:8" ht="25.5" customHeight="1">
      <c r="A1" s="40" t="s">
        <v>0</v>
      </c>
      <c r="B1" s="40" t="s">
        <v>24</v>
      </c>
      <c r="C1" s="41" t="s">
        <v>25</v>
      </c>
      <c r="D1" s="40" t="s">
        <v>26</v>
      </c>
      <c r="E1" s="40" t="s">
        <v>421</v>
      </c>
      <c r="F1" s="40" t="s">
        <v>28</v>
      </c>
      <c r="G1" s="40" t="s">
        <v>422</v>
      </c>
      <c r="H1" s="139" t="s">
        <v>423</v>
      </c>
    </row>
    <row r="2" spans="1:8" ht="25.5" customHeight="1">
      <c r="A2" s="81">
        <v>45962</v>
      </c>
      <c r="B2" s="62"/>
      <c r="C2" s="62" t="s">
        <v>103</v>
      </c>
      <c r="D2" s="5" t="s">
        <v>424</v>
      </c>
      <c r="E2" s="5" t="s">
        <v>977</v>
      </c>
      <c r="F2" s="8">
        <f>15+17.95+40+8+52.45</f>
        <v>133.4</v>
      </c>
      <c r="G2" s="159">
        <v>4000</v>
      </c>
      <c r="H2" s="37" t="s">
        <v>426</v>
      </c>
    </row>
    <row r="3" spans="1:8" ht="25.5" customHeight="1">
      <c r="A3" s="81">
        <v>45962</v>
      </c>
      <c r="B3" s="62"/>
      <c r="C3" s="12" t="s">
        <v>427</v>
      </c>
      <c r="D3" s="5" t="s">
        <v>428</v>
      </c>
      <c r="E3" s="5" t="s">
        <v>429</v>
      </c>
      <c r="F3" s="8">
        <v>143.72</v>
      </c>
      <c r="G3" s="159">
        <v>1900</v>
      </c>
      <c r="H3" s="160" t="s">
        <v>430</v>
      </c>
    </row>
    <row r="4" spans="1:8" ht="25.5" customHeight="1">
      <c r="A4" s="81">
        <v>45992</v>
      </c>
      <c r="B4" s="62"/>
      <c r="C4" s="12" t="s">
        <v>431</v>
      </c>
      <c r="D4" s="5" t="s">
        <v>432</v>
      </c>
      <c r="E4" s="5" t="s">
        <v>976</v>
      </c>
      <c r="F4" s="8">
        <f>8.55+8+6.49+69.95+25+195</f>
        <v>312.99</v>
      </c>
      <c r="G4" s="186">
        <v>8190</v>
      </c>
      <c r="H4" s="37" t="s">
        <v>434</v>
      </c>
    </row>
    <row r="5" spans="1:8" ht="25.5" customHeight="1">
      <c r="A5" s="1"/>
      <c r="B5" s="62"/>
      <c r="C5" s="12"/>
      <c r="D5" s="5"/>
      <c r="E5" s="5"/>
      <c r="F5" s="8"/>
      <c r="G5" s="186"/>
      <c r="H5" s="37"/>
    </row>
    <row r="6" spans="1:8" ht="25.5" customHeight="1">
      <c r="A6" s="1"/>
      <c r="B6" s="62"/>
      <c r="C6" s="12"/>
      <c r="D6" s="12"/>
      <c r="E6" s="12"/>
      <c r="F6" s="191">
        <v>40</v>
      </c>
      <c r="G6" s="191"/>
      <c r="H6" s="12" t="s">
        <v>435</v>
      </c>
    </row>
    <row r="7" spans="1:8" ht="25.5" customHeight="1">
      <c r="A7" s="1"/>
      <c r="B7" s="62"/>
      <c r="C7" s="12"/>
      <c r="D7" s="5"/>
      <c r="E7" s="5"/>
      <c r="F7" s="8">
        <v>100</v>
      </c>
      <c r="G7" s="186"/>
      <c r="H7" s="37" t="s">
        <v>436</v>
      </c>
    </row>
    <row r="8" spans="1:8" ht="25.5" customHeight="1">
      <c r="A8" s="1"/>
      <c r="B8" s="62"/>
      <c r="C8" s="12"/>
      <c r="D8" s="5"/>
      <c r="E8" s="5"/>
      <c r="F8" s="8"/>
      <c r="G8" s="186"/>
      <c r="H8" s="37"/>
    </row>
    <row r="9" spans="1:8" ht="25.5" customHeight="1">
      <c r="A9" s="1"/>
      <c r="B9" s="62"/>
      <c r="C9" s="12"/>
      <c r="D9" s="5"/>
      <c r="E9" s="5"/>
      <c r="F9" s="8"/>
      <c r="G9" s="186"/>
      <c r="H9" s="37"/>
    </row>
    <row r="10" spans="1:8" ht="25.5" customHeight="1">
      <c r="A10" s="1"/>
      <c r="B10" s="62"/>
      <c r="C10" s="12"/>
      <c r="D10" s="5"/>
      <c r="E10" s="5"/>
      <c r="F10" s="8"/>
      <c r="G10" s="186"/>
      <c r="H10" s="37"/>
    </row>
    <row r="11" spans="1:8" ht="25.5" customHeight="1">
      <c r="A11" s="1"/>
      <c r="B11" s="62"/>
      <c r="C11" s="12"/>
      <c r="D11" s="5"/>
      <c r="E11" s="5"/>
      <c r="F11" s="8"/>
      <c r="G11" s="186"/>
      <c r="H11" s="160"/>
    </row>
    <row r="12" spans="1:8" ht="25.5" customHeight="1">
      <c r="A12" s="1"/>
      <c r="B12" s="62"/>
      <c r="C12" s="12"/>
      <c r="D12" s="5"/>
      <c r="E12" s="5"/>
      <c r="F12" s="8"/>
      <c r="G12" s="186"/>
      <c r="H12" s="37"/>
    </row>
    <row r="13" spans="1:8" ht="25.5" customHeight="1">
      <c r="A13" s="1"/>
      <c r="B13" s="62"/>
      <c r="C13" s="12"/>
      <c r="D13" s="5"/>
      <c r="E13" s="5"/>
      <c r="F13" s="8"/>
      <c r="G13" s="186"/>
      <c r="H13" s="37"/>
    </row>
    <row r="14" spans="1:8" ht="25.5" customHeight="1">
      <c r="A14" s="1"/>
      <c r="B14" s="62"/>
      <c r="C14" s="12"/>
      <c r="D14" s="5"/>
      <c r="E14" s="5"/>
      <c r="F14" s="8"/>
      <c r="G14" s="186"/>
      <c r="H14" s="37"/>
    </row>
    <row r="15" spans="1:8" ht="25.5" customHeight="1">
      <c r="A15" s="1"/>
      <c r="B15" s="62"/>
      <c r="C15" s="12"/>
      <c r="D15" s="5"/>
      <c r="E15" s="5"/>
      <c r="F15" s="8"/>
      <c r="G15" s="186"/>
      <c r="H15" s="37"/>
    </row>
    <row r="16" spans="1:8" ht="25.5" customHeight="1">
      <c r="A16" s="140"/>
      <c r="B16" s="141"/>
      <c r="C16" s="142"/>
      <c r="D16" s="143"/>
      <c r="E16" s="143"/>
      <c r="F16" s="144"/>
      <c r="G16" s="144"/>
      <c r="H16" s="37"/>
    </row>
  </sheetData>
  <autoFilter ref="H1" xr:uid="{00000000-0009-0000-0000-000005000000}"/>
  <conditionalFormatting sqref="C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57"/>
  <sheetViews>
    <sheetView zoomScale="92" zoomScaleNormal="86" workbookViewId="0">
      <selection activeCell="E42" sqref="E42"/>
    </sheetView>
  </sheetViews>
  <sheetFormatPr baseColWidth="10" defaultColWidth="10.83203125" defaultRowHeight="15"/>
  <cols>
    <col min="1" max="1" width="9" bestFit="1" customWidth="1"/>
    <col min="2" max="2" width="17" customWidth="1"/>
    <col min="3" max="3" width="19.6640625" customWidth="1"/>
    <col min="4" max="4" width="20" style="195" customWidth="1"/>
    <col min="5" max="5" width="43.83203125" bestFit="1" customWidth="1"/>
  </cols>
  <sheetData>
    <row r="1" spans="1:5" ht="33" customHeight="1">
      <c r="A1" s="153" t="s">
        <v>0</v>
      </c>
      <c r="B1" s="221" t="s">
        <v>437</v>
      </c>
      <c r="C1" s="221" t="s">
        <v>438</v>
      </c>
      <c r="D1" s="221" t="s">
        <v>439</v>
      </c>
      <c r="E1" s="221" t="s">
        <v>440</v>
      </c>
    </row>
    <row r="2" spans="1:5" ht="25" customHeight="1">
      <c r="A2" s="213">
        <v>46023</v>
      </c>
      <c r="B2" s="214">
        <v>46037</v>
      </c>
      <c r="C2" s="215" t="s">
        <v>441</v>
      </c>
      <c r="D2" s="224">
        <v>80</v>
      </c>
      <c r="E2" s="216" t="s">
        <v>442</v>
      </c>
    </row>
    <row r="3" spans="1:5" ht="25" customHeight="1">
      <c r="A3" s="217">
        <v>46023</v>
      </c>
      <c r="B3" s="218">
        <v>46040</v>
      </c>
      <c r="C3" s="219" t="s">
        <v>443</v>
      </c>
      <c r="D3" s="225">
        <v>100</v>
      </c>
      <c r="E3" s="225" t="s">
        <v>444</v>
      </c>
    </row>
    <row r="4" spans="1:5" ht="25" customHeight="1">
      <c r="A4" s="217">
        <v>46023</v>
      </c>
      <c r="B4" s="218">
        <v>46050</v>
      </c>
      <c r="C4" s="219" t="s">
        <v>443</v>
      </c>
      <c r="D4" s="225">
        <v>100</v>
      </c>
      <c r="E4" s="220" t="s">
        <v>445</v>
      </c>
    </row>
    <row r="5" spans="1:5" ht="25" customHeight="1">
      <c r="A5" s="217">
        <v>46023</v>
      </c>
      <c r="B5" s="218">
        <v>46051</v>
      </c>
      <c r="C5" s="219" t="s">
        <v>446</v>
      </c>
      <c r="D5" s="225">
        <v>90</v>
      </c>
      <c r="E5" s="220" t="s">
        <v>447</v>
      </c>
    </row>
    <row r="6" spans="1:5" ht="25" customHeight="1">
      <c r="A6" s="217">
        <v>46023</v>
      </c>
      <c r="B6" s="218"/>
      <c r="C6" s="219"/>
      <c r="D6" s="225"/>
      <c r="E6" s="220"/>
    </row>
    <row r="7" spans="1:5" ht="25" customHeight="1">
      <c r="A7" s="217">
        <v>46023</v>
      </c>
      <c r="B7" s="220"/>
      <c r="C7" s="220"/>
      <c r="D7" s="225"/>
      <c r="E7" s="220"/>
    </row>
    <row r="8" spans="1:5" ht="25" customHeight="1">
      <c r="A8" s="217">
        <v>46023</v>
      </c>
      <c r="B8" s="220"/>
      <c r="C8" s="228" t="s">
        <v>448</v>
      </c>
      <c r="D8" s="229">
        <f>SUM(D2:D6)</f>
        <v>370</v>
      </c>
      <c r="E8" s="220"/>
    </row>
    <row r="9" spans="1:5" ht="25" customHeight="1">
      <c r="A9" s="245">
        <v>46023</v>
      </c>
      <c r="B9" s="246"/>
      <c r="C9" s="246"/>
      <c r="D9" s="246"/>
      <c r="E9" s="246"/>
    </row>
    <row r="10" spans="1:5" ht="25" customHeight="1">
      <c r="A10" s="217">
        <v>46054</v>
      </c>
      <c r="B10" s="218"/>
      <c r="C10" s="220" t="s">
        <v>449</v>
      </c>
      <c r="D10" s="220">
        <v>80</v>
      </c>
      <c r="E10" s="220" t="s">
        <v>191</v>
      </c>
    </row>
    <row r="11" spans="1:5" ht="25" customHeight="1">
      <c r="A11" s="217">
        <v>46054</v>
      </c>
      <c r="B11" s="218"/>
      <c r="C11" s="220" t="s">
        <v>450</v>
      </c>
      <c r="D11" s="220">
        <v>56.48</v>
      </c>
      <c r="E11" s="220" t="s">
        <v>191</v>
      </c>
    </row>
    <row r="12" spans="1:5" ht="25" customHeight="1">
      <c r="A12" s="217">
        <v>46054</v>
      </c>
      <c r="B12" s="218"/>
      <c r="C12" s="220" t="s">
        <v>451</v>
      </c>
      <c r="D12" s="220">
        <v>28.93</v>
      </c>
      <c r="E12" s="220" t="s">
        <v>191</v>
      </c>
    </row>
    <row r="13" spans="1:5" ht="25" customHeight="1">
      <c r="A13" s="217">
        <v>46054</v>
      </c>
      <c r="B13" s="218"/>
      <c r="C13" s="220" t="s">
        <v>451</v>
      </c>
      <c r="D13" s="220">
        <v>5.93</v>
      </c>
      <c r="E13" s="220" t="s">
        <v>189</v>
      </c>
    </row>
    <row r="14" spans="1:5" ht="25" customHeight="1">
      <c r="A14" s="217">
        <v>46054</v>
      </c>
      <c r="B14" s="218"/>
      <c r="C14" s="220" t="s">
        <v>452</v>
      </c>
      <c r="D14" s="220">
        <f>3.8+12.5</f>
        <v>16.3</v>
      </c>
      <c r="E14" s="220" t="s">
        <v>453</v>
      </c>
    </row>
    <row r="15" spans="1:5" ht="25" customHeight="1">
      <c r="A15" s="217">
        <v>46054</v>
      </c>
      <c r="B15" s="218"/>
      <c r="C15" s="220" t="s">
        <v>450</v>
      </c>
      <c r="D15" s="220">
        <v>113.27</v>
      </c>
      <c r="E15" s="220" t="s">
        <v>453</v>
      </c>
    </row>
    <row r="16" spans="1:5" ht="25" customHeight="1">
      <c r="A16" s="217">
        <v>46054</v>
      </c>
      <c r="B16" s="218"/>
      <c r="C16" s="220" t="s">
        <v>451</v>
      </c>
      <c r="D16" s="220">
        <v>48.95</v>
      </c>
      <c r="E16" s="220" t="s">
        <v>454</v>
      </c>
    </row>
    <row r="17" spans="1:5" ht="25" customHeight="1">
      <c r="A17" s="217">
        <v>46054</v>
      </c>
      <c r="B17" s="218"/>
      <c r="C17" s="220" t="s">
        <v>449</v>
      </c>
      <c r="D17" s="220">
        <v>120</v>
      </c>
      <c r="E17" s="220" t="s">
        <v>454</v>
      </c>
    </row>
    <row r="18" spans="1:5" ht="25" customHeight="1">
      <c r="A18" s="217">
        <v>46054</v>
      </c>
      <c r="B18" s="218">
        <v>46062</v>
      </c>
      <c r="C18" s="219" t="s">
        <v>443</v>
      </c>
      <c r="D18" s="220">
        <v>75</v>
      </c>
      <c r="E18" s="220" t="s">
        <v>455</v>
      </c>
    </row>
    <row r="19" spans="1:5" ht="25" customHeight="1">
      <c r="A19" s="217">
        <v>46054</v>
      </c>
      <c r="B19" s="218"/>
      <c r="C19" s="220" t="s">
        <v>449</v>
      </c>
      <c r="D19" s="220">
        <v>90</v>
      </c>
      <c r="E19" s="220" t="s">
        <v>456</v>
      </c>
    </row>
    <row r="20" spans="1:5" ht="25" customHeight="1">
      <c r="A20" s="217">
        <v>46054</v>
      </c>
      <c r="B20" s="218"/>
      <c r="C20" s="220" t="s">
        <v>449</v>
      </c>
      <c r="D20" s="220">
        <v>90</v>
      </c>
      <c r="E20" s="220" t="s">
        <v>457</v>
      </c>
    </row>
    <row r="21" spans="1:5" ht="25" customHeight="1">
      <c r="A21" s="217">
        <v>46054</v>
      </c>
      <c r="B21" s="218"/>
      <c r="C21" s="220" t="s">
        <v>449</v>
      </c>
      <c r="D21" s="220">
        <v>45</v>
      </c>
      <c r="E21" s="275" t="s">
        <v>458</v>
      </c>
    </row>
    <row r="22" spans="1:5" ht="25" customHeight="1">
      <c r="A22" s="217">
        <v>46054</v>
      </c>
      <c r="B22" s="218"/>
      <c r="C22" s="220" t="s">
        <v>459</v>
      </c>
      <c r="D22" s="220">
        <v>67.989999999999995</v>
      </c>
      <c r="E22" s="220" t="s">
        <v>325</v>
      </c>
    </row>
    <row r="23" spans="1:5" ht="25" customHeight="1">
      <c r="A23" s="217">
        <v>46054</v>
      </c>
      <c r="B23" s="218"/>
      <c r="C23" s="220"/>
      <c r="D23" s="220"/>
      <c r="E23" s="220"/>
    </row>
    <row r="24" spans="1:5" ht="25" customHeight="1">
      <c r="A24" s="217">
        <v>46054</v>
      </c>
      <c r="B24" s="218"/>
      <c r="C24" s="220"/>
      <c r="D24" s="220"/>
      <c r="E24" s="220"/>
    </row>
    <row r="25" spans="1:5" ht="25" customHeight="1">
      <c r="A25" s="217">
        <v>46054</v>
      </c>
      <c r="B25" s="220"/>
      <c r="C25" s="228" t="s">
        <v>448</v>
      </c>
      <c r="D25" s="229">
        <f>SUM(D10:D24)</f>
        <v>837.85</v>
      </c>
      <c r="E25" s="220"/>
    </row>
    <row r="26" spans="1:5" ht="25" customHeight="1">
      <c r="A26" s="245">
        <v>46054</v>
      </c>
      <c r="B26" s="279"/>
      <c r="C26" s="246"/>
      <c r="D26" s="246"/>
      <c r="E26" s="246"/>
    </row>
    <row r="27" spans="1:5" ht="25" customHeight="1">
      <c r="A27" s="217">
        <v>46082</v>
      </c>
      <c r="B27" s="218"/>
      <c r="C27" s="220" t="s">
        <v>460</v>
      </c>
      <c r="D27" s="220">
        <f>54.95+18.5</f>
        <v>73.45</v>
      </c>
      <c r="E27" s="220" t="s">
        <v>325</v>
      </c>
    </row>
    <row r="28" spans="1:5" ht="25" customHeight="1">
      <c r="A28" s="217">
        <v>46082</v>
      </c>
      <c r="B28" s="218"/>
      <c r="C28" s="220" t="s">
        <v>443</v>
      </c>
      <c r="D28" s="220">
        <v>35</v>
      </c>
      <c r="E28" s="6" t="s">
        <v>318</v>
      </c>
    </row>
    <row r="29" spans="1:5" ht="25" customHeight="1">
      <c r="A29" s="217">
        <v>46082</v>
      </c>
      <c r="B29" s="218"/>
      <c r="C29" s="220" t="s">
        <v>461</v>
      </c>
      <c r="D29" s="220">
        <v>90</v>
      </c>
      <c r="E29" s="220" t="s">
        <v>329</v>
      </c>
    </row>
    <row r="30" spans="1:5" ht="25" customHeight="1">
      <c r="A30" s="217">
        <v>46082</v>
      </c>
      <c r="B30" s="218"/>
      <c r="C30" s="220" t="s">
        <v>459</v>
      </c>
      <c r="D30" s="220">
        <v>117.98</v>
      </c>
      <c r="E30" s="220" t="s">
        <v>462</v>
      </c>
    </row>
    <row r="31" spans="1:5" ht="25" customHeight="1">
      <c r="A31" s="217">
        <v>46082</v>
      </c>
      <c r="B31" s="218"/>
      <c r="C31" s="220" t="s">
        <v>463</v>
      </c>
      <c r="D31" s="220">
        <v>22.5</v>
      </c>
      <c r="E31" s="220" t="s">
        <v>462</v>
      </c>
    </row>
    <row r="32" spans="1:5" ht="25" customHeight="1">
      <c r="A32" s="217">
        <v>46082</v>
      </c>
      <c r="B32" s="218"/>
      <c r="C32" s="220" t="s">
        <v>451</v>
      </c>
      <c r="D32" s="220">
        <v>38.93</v>
      </c>
      <c r="E32" s="220" t="s">
        <v>462</v>
      </c>
    </row>
    <row r="33" spans="1:5" ht="25" customHeight="1">
      <c r="A33" s="217">
        <v>46082</v>
      </c>
      <c r="B33" s="218"/>
      <c r="C33" s="220" t="s">
        <v>464</v>
      </c>
      <c r="D33" s="220">
        <v>15.37</v>
      </c>
      <c r="E33" s="220" t="s">
        <v>462</v>
      </c>
    </row>
    <row r="34" spans="1:5" ht="25" customHeight="1">
      <c r="A34" s="217">
        <v>46082</v>
      </c>
      <c r="B34" s="218"/>
      <c r="C34" s="220" t="s">
        <v>461</v>
      </c>
      <c r="D34" s="220">
        <v>120</v>
      </c>
      <c r="E34" s="220" t="s">
        <v>462</v>
      </c>
    </row>
    <row r="35" spans="1:5" ht="25" customHeight="1">
      <c r="A35" s="217">
        <v>46082</v>
      </c>
      <c r="B35" s="218"/>
      <c r="C35" s="220" t="s">
        <v>312</v>
      </c>
      <c r="D35" s="220">
        <v>80</v>
      </c>
      <c r="E35" s="220" t="s">
        <v>332</v>
      </c>
    </row>
    <row r="36" spans="1:5" ht="25" customHeight="1">
      <c r="A36" s="217">
        <v>46082</v>
      </c>
      <c r="B36" s="218"/>
      <c r="C36" s="220" t="s">
        <v>312</v>
      </c>
      <c r="D36" s="220">
        <v>80</v>
      </c>
      <c r="E36" s="220" t="s">
        <v>247</v>
      </c>
    </row>
    <row r="37" spans="1:5" ht="25" customHeight="1">
      <c r="A37" s="217">
        <v>46082</v>
      </c>
      <c r="B37" s="218"/>
      <c r="C37" s="220"/>
      <c r="D37" s="220"/>
      <c r="E37" s="220"/>
    </row>
    <row r="38" spans="1:5" ht="25" customHeight="1">
      <c r="A38" s="217">
        <v>46082</v>
      </c>
      <c r="B38" s="218"/>
      <c r="C38" s="228" t="s">
        <v>448</v>
      </c>
      <c r="D38" s="229">
        <f>SUM(D27:D37)</f>
        <v>673.23</v>
      </c>
      <c r="E38" s="220"/>
    </row>
    <row r="39" spans="1:5" ht="25" customHeight="1">
      <c r="A39" s="245">
        <v>46082</v>
      </c>
      <c r="B39" s="279"/>
      <c r="C39" s="246"/>
      <c r="D39" s="246"/>
      <c r="E39" s="246"/>
    </row>
    <row r="40" spans="1:5" ht="26" customHeight="1">
      <c r="A40" s="217">
        <v>46113</v>
      </c>
      <c r="B40" s="218"/>
      <c r="C40" s="220"/>
      <c r="D40" s="220">
        <v>20</v>
      </c>
      <c r="E40" s="220" t="s">
        <v>330</v>
      </c>
    </row>
    <row r="41" spans="1:5" ht="26" customHeight="1">
      <c r="A41" s="217">
        <v>46082</v>
      </c>
      <c r="B41" s="218"/>
      <c r="C41" s="220"/>
      <c r="D41" s="220">
        <v>38.6</v>
      </c>
      <c r="E41" s="220" t="s">
        <v>465</v>
      </c>
    </row>
    <row r="42" spans="1:5" ht="26" customHeight="1">
      <c r="A42" s="217">
        <v>46113</v>
      </c>
      <c r="B42" s="218"/>
      <c r="C42" s="220"/>
      <c r="D42" s="220"/>
      <c r="E42" s="220"/>
    </row>
    <row r="43" spans="1:5" ht="26" customHeight="1">
      <c r="A43" s="217">
        <v>46113</v>
      </c>
      <c r="B43" s="218"/>
      <c r="C43" s="220"/>
      <c r="D43" s="220"/>
      <c r="E43" s="220"/>
    </row>
    <row r="44" spans="1:5" ht="26" customHeight="1">
      <c r="A44" s="217">
        <v>46113</v>
      </c>
      <c r="B44" s="218"/>
      <c r="C44" s="220"/>
      <c r="D44" s="220"/>
      <c r="E44" s="220"/>
    </row>
    <row r="45" spans="1:5" ht="26" customHeight="1">
      <c r="A45" s="217">
        <v>46113</v>
      </c>
      <c r="B45" s="218"/>
      <c r="C45" s="220"/>
      <c r="D45" s="220"/>
      <c r="E45" s="220"/>
    </row>
    <row r="46" spans="1:5" ht="26" customHeight="1">
      <c r="A46" s="217">
        <v>46113</v>
      </c>
      <c r="B46" s="218"/>
      <c r="C46" s="220"/>
      <c r="D46" s="220"/>
      <c r="E46" s="220"/>
    </row>
    <row r="47" spans="1:5" ht="26" customHeight="1">
      <c r="A47" s="217">
        <v>46113</v>
      </c>
      <c r="B47" s="218"/>
      <c r="C47" s="220"/>
      <c r="D47" s="220"/>
      <c r="E47" s="220"/>
    </row>
    <row r="48" spans="1:5" ht="26" customHeight="1">
      <c r="A48" s="217">
        <v>46113</v>
      </c>
      <c r="B48" s="218"/>
      <c r="C48" s="220"/>
      <c r="D48" s="220"/>
      <c r="E48" s="220"/>
    </row>
    <row r="49" spans="1:5" ht="26" customHeight="1">
      <c r="A49" s="217">
        <v>46113</v>
      </c>
      <c r="B49" s="218"/>
      <c r="C49" s="220"/>
      <c r="D49" s="220"/>
      <c r="E49" s="220"/>
    </row>
    <row r="50" spans="1:5" ht="26" customHeight="1">
      <c r="A50" s="217">
        <v>46113</v>
      </c>
      <c r="B50" s="218"/>
      <c r="C50" s="220"/>
      <c r="D50" s="220"/>
      <c r="E50" s="220"/>
    </row>
    <row r="51" spans="1:5" ht="26" customHeight="1">
      <c r="A51" s="217">
        <v>46113</v>
      </c>
      <c r="B51" s="218"/>
      <c r="C51" s="220"/>
      <c r="D51" s="220"/>
      <c r="E51" s="220"/>
    </row>
    <row r="52" spans="1:5" ht="26" customHeight="1">
      <c r="A52" s="217">
        <v>46113</v>
      </c>
      <c r="B52" s="218"/>
      <c r="C52" s="220"/>
      <c r="D52" s="220"/>
      <c r="E52" s="220"/>
    </row>
    <row r="53" spans="1:5" ht="26" customHeight="1">
      <c r="A53" s="217">
        <v>46113</v>
      </c>
      <c r="B53" s="218"/>
      <c r="C53" s="220"/>
      <c r="D53" s="220"/>
      <c r="E53" s="220"/>
    </row>
    <row r="54" spans="1:5" ht="26" customHeight="1">
      <c r="A54" s="217">
        <v>46113</v>
      </c>
      <c r="B54" s="218"/>
      <c r="C54" s="220"/>
      <c r="D54" s="220"/>
      <c r="E54" s="220"/>
    </row>
    <row r="55" spans="1:5" ht="26" customHeight="1">
      <c r="A55" s="217">
        <v>46113</v>
      </c>
      <c r="B55" s="218"/>
      <c r="C55" s="220"/>
      <c r="D55" s="220"/>
      <c r="E55" s="220"/>
    </row>
    <row r="56" spans="1:5" ht="26" customHeight="1">
      <c r="A56" s="217">
        <v>46113</v>
      </c>
      <c r="B56" s="218"/>
      <c r="C56" s="228" t="s">
        <v>448</v>
      </c>
      <c r="D56" s="229">
        <f>SUM(D40:D55)</f>
        <v>58.6</v>
      </c>
      <c r="E56" s="220"/>
    </row>
    <row r="57" spans="1:5" ht="26" customHeight="1">
      <c r="A57" s="245">
        <v>46113</v>
      </c>
      <c r="B57" s="279"/>
      <c r="C57" s="246"/>
      <c r="D57" s="246"/>
      <c r="E57" s="246"/>
    </row>
  </sheetData>
  <autoFilter ref="A1:E57" xr:uid="{00000000-0009-0000-0000-000006000000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H384"/>
  <sheetViews>
    <sheetView zoomScale="89" zoomScaleNormal="85" workbookViewId="0">
      <selection activeCell="H275" sqref="H275"/>
    </sheetView>
  </sheetViews>
  <sheetFormatPr baseColWidth="10" defaultColWidth="8.83203125" defaultRowHeight="15"/>
  <cols>
    <col min="1" max="1" width="19.1640625" bestFit="1" customWidth="1"/>
    <col min="2" max="2" width="18" style="45" customWidth="1"/>
    <col min="3" max="3" width="17.5" customWidth="1"/>
    <col min="4" max="4" width="15.5" customWidth="1"/>
    <col min="5" max="5" width="15.83203125" customWidth="1"/>
    <col min="6" max="6" width="17.5" hidden="1" customWidth="1"/>
    <col min="7" max="7" width="13.1640625" hidden="1" customWidth="1"/>
    <col min="8" max="8" width="44.5" bestFit="1" customWidth="1"/>
    <col min="14" max="14" width="8.83203125" customWidth="1"/>
  </cols>
  <sheetData>
    <row r="1" spans="1:8" ht="26.25" customHeight="1">
      <c r="A1" s="46" t="s">
        <v>0</v>
      </c>
      <c r="B1" s="47" t="s">
        <v>437</v>
      </c>
      <c r="C1" s="48" t="s">
        <v>466</v>
      </c>
      <c r="D1" s="48" t="s">
        <v>467</v>
      </c>
      <c r="E1" s="48" t="s">
        <v>468</v>
      </c>
      <c r="F1" s="48" t="s">
        <v>469</v>
      </c>
      <c r="G1" s="48" t="s">
        <v>470</v>
      </c>
      <c r="H1" s="49" t="s">
        <v>13</v>
      </c>
    </row>
    <row r="2" spans="1:8" ht="26.25" customHeight="1">
      <c r="A2" s="81">
        <v>45809</v>
      </c>
      <c r="B2" s="383">
        <v>45822</v>
      </c>
      <c r="C2" s="384" t="s">
        <v>471</v>
      </c>
      <c r="D2" s="385" t="s">
        <v>472</v>
      </c>
      <c r="E2" s="386">
        <v>4.95</v>
      </c>
      <c r="F2" s="385" t="s">
        <v>473</v>
      </c>
      <c r="G2" s="385" t="s">
        <v>474</v>
      </c>
      <c r="H2" s="385" t="s">
        <v>475</v>
      </c>
    </row>
    <row r="3" spans="1:8" ht="26.25" customHeight="1">
      <c r="A3" s="81">
        <v>45809</v>
      </c>
      <c r="B3" s="383"/>
      <c r="C3" s="387" t="s">
        <v>476</v>
      </c>
      <c r="D3" s="385"/>
      <c r="E3" s="386">
        <v>49.99</v>
      </c>
      <c r="F3" s="385" t="s">
        <v>473</v>
      </c>
      <c r="G3" s="385" t="s">
        <v>477</v>
      </c>
      <c r="H3" s="385" t="s">
        <v>478</v>
      </c>
    </row>
    <row r="4" spans="1:8" ht="26.25" customHeight="1">
      <c r="A4" s="81">
        <v>45809</v>
      </c>
      <c r="B4" s="383"/>
      <c r="C4" s="384" t="s">
        <v>471</v>
      </c>
      <c r="D4" s="385" t="s">
        <v>479</v>
      </c>
      <c r="E4" s="386">
        <v>19.989999999999998</v>
      </c>
      <c r="F4" s="385" t="s">
        <v>473</v>
      </c>
      <c r="G4" s="385" t="s">
        <v>474</v>
      </c>
      <c r="H4" s="385" t="s">
        <v>480</v>
      </c>
    </row>
    <row r="5" spans="1:8" ht="26.25" customHeight="1">
      <c r="A5" s="81">
        <v>45809</v>
      </c>
      <c r="B5" s="383">
        <v>45819</v>
      </c>
      <c r="C5" s="384" t="s">
        <v>471</v>
      </c>
      <c r="D5" s="385" t="s">
        <v>481</v>
      </c>
      <c r="E5" s="386">
        <v>12.78</v>
      </c>
      <c r="F5" s="385" t="s">
        <v>473</v>
      </c>
      <c r="G5" s="385" t="s">
        <v>474</v>
      </c>
      <c r="H5" s="385" t="s">
        <v>482</v>
      </c>
    </row>
    <row r="6" spans="1:8" ht="26.25" customHeight="1">
      <c r="A6" s="81">
        <v>45809</v>
      </c>
      <c r="B6" s="383">
        <v>45822</v>
      </c>
      <c r="C6" s="387" t="s">
        <v>476</v>
      </c>
      <c r="D6" s="385"/>
      <c r="E6" s="386">
        <v>32.4</v>
      </c>
      <c r="F6" s="385" t="s">
        <v>473</v>
      </c>
      <c r="G6" s="385" t="s">
        <v>474</v>
      </c>
      <c r="H6" s="385" t="s">
        <v>483</v>
      </c>
    </row>
    <row r="7" spans="1:8" ht="26.25" customHeight="1">
      <c r="A7" s="81">
        <v>45809</v>
      </c>
      <c r="B7" s="383">
        <v>45825</v>
      </c>
      <c r="C7" s="384" t="s">
        <v>471</v>
      </c>
      <c r="D7" s="385" t="s">
        <v>472</v>
      </c>
      <c r="E7" s="386">
        <v>4.95</v>
      </c>
      <c r="F7" s="385" t="s">
        <v>473</v>
      </c>
      <c r="G7" s="385" t="s">
        <v>474</v>
      </c>
      <c r="H7" s="385" t="s">
        <v>66</v>
      </c>
    </row>
    <row r="8" spans="1:8" ht="26.25" customHeight="1">
      <c r="A8" s="81">
        <v>45809</v>
      </c>
      <c r="B8" s="383">
        <v>45834</v>
      </c>
      <c r="C8" s="384" t="s">
        <v>471</v>
      </c>
      <c r="D8" s="385" t="s">
        <v>472</v>
      </c>
      <c r="E8" s="386">
        <v>4.95</v>
      </c>
      <c r="F8" s="385" t="s">
        <v>473</v>
      </c>
      <c r="G8" s="385" t="s">
        <v>474</v>
      </c>
      <c r="H8" s="385" t="s">
        <v>484</v>
      </c>
    </row>
    <row r="9" spans="1:8" ht="26.25" customHeight="1">
      <c r="A9" s="81">
        <v>45809</v>
      </c>
      <c r="B9" s="383">
        <v>45835</v>
      </c>
      <c r="C9" s="384" t="s">
        <v>471</v>
      </c>
      <c r="D9" s="385" t="s">
        <v>472</v>
      </c>
      <c r="E9" s="386">
        <v>4.95</v>
      </c>
      <c r="F9" s="385" t="s">
        <v>473</v>
      </c>
      <c r="G9" s="385" t="s">
        <v>474</v>
      </c>
      <c r="H9" s="385" t="s">
        <v>485</v>
      </c>
    </row>
    <row r="10" spans="1:8" ht="26.25" customHeight="1">
      <c r="A10" s="81">
        <v>45809</v>
      </c>
      <c r="B10" s="383">
        <v>45835</v>
      </c>
      <c r="C10" s="384" t="s">
        <v>471</v>
      </c>
      <c r="D10" s="385" t="s">
        <v>472</v>
      </c>
      <c r="E10" s="386">
        <v>4.95</v>
      </c>
      <c r="F10" s="385" t="s">
        <v>473</v>
      </c>
      <c r="G10" s="385" t="s">
        <v>474</v>
      </c>
      <c r="H10" s="385" t="s">
        <v>486</v>
      </c>
    </row>
    <row r="11" spans="1:8" ht="23.5" customHeight="1">
      <c r="A11" s="81">
        <v>45809</v>
      </c>
      <c r="B11" s="127"/>
      <c r="C11" s="50"/>
      <c r="D11" s="50"/>
      <c r="E11" s="82"/>
      <c r="F11" s="50"/>
      <c r="G11" s="50"/>
      <c r="H11" s="83"/>
    </row>
    <row r="12" spans="1:8" ht="28" customHeight="1">
      <c r="A12" s="81">
        <v>45809</v>
      </c>
      <c r="B12" s="127"/>
      <c r="C12" s="50"/>
      <c r="D12" s="84" t="s">
        <v>487</v>
      </c>
      <c r="E12" s="85">
        <f>SUM(E2:E10)</f>
        <v>139.91</v>
      </c>
      <c r="F12" s="50"/>
      <c r="G12" s="50"/>
      <c r="H12" s="83"/>
    </row>
    <row r="13" spans="1:8" ht="26.25" customHeight="1">
      <c r="A13" s="86"/>
      <c r="B13" s="388"/>
      <c r="C13" s="389"/>
      <c r="D13" s="389"/>
      <c r="E13" s="390"/>
      <c r="F13" s="389"/>
      <c r="G13" s="389"/>
      <c r="H13" s="391"/>
    </row>
    <row r="14" spans="1:8" ht="26.25" customHeight="1">
      <c r="A14" s="80">
        <v>45839</v>
      </c>
      <c r="B14" s="383">
        <v>45856</v>
      </c>
      <c r="C14" s="385"/>
      <c r="D14" s="385" t="s">
        <v>425</v>
      </c>
      <c r="E14" s="386">
        <v>130</v>
      </c>
      <c r="F14" s="385" t="s">
        <v>488</v>
      </c>
      <c r="G14" s="385" t="s">
        <v>489</v>
      </c>
      <c r="H14" s="392" t="s">
        <v>490</v>
      </c>
    </row>
    <row r="15" spans="1:8" ht="26.25" customHeight="1">
      <c r="A15" s="80">
        <v>45839</v>
      </c>
      <c r="B15" s="383">
        <v>45859</v>
      </c>
      <c r="C15" s="384" t="s">
        <v>471</v>
      </c>
      <c r="D15" s="385" t="s">
        <v>491</v>
      </c>
      <c r="E15" s="386">
        <v>4.95</v>
      </c>
      <c r="F15" s="385" t="s">
        <v>473</v>
      </c>
      <c r="G15" s="385" t="s">
        <v>489</v>
      </c>
      <c r="H15" s="392" t="s">
        <v>492</v>
      </c>
    </row>
    <row r="16" spans="1:8" ht="26.25" customHeight="1">
      <c r="A16" s="80">
        <v>45839</v>
      </c>
      <c r="B16" s="383">
        <v>45861</v>
      </c>
      <c r="C16" s="384" t="s">
        <v>471</v>
      </c>
      <c r="D16" s="385" t="s">
        <v>472</v>
      </c>
      <c r="E16" s="386">
        <v>4.95</v>
      </c>
      <c r="F16" s="385" t="s">
        <v>473</v>
      </c>
      <c r="G16" s="385" t="s">
        <v>474</v>
      </c>
      <c r="H16" s="385" t="s">
        <v>73</v>
      </c>
    </row>
    <row r="17" spans="1:8" ht="26.25" customHeight="1">
      <c r="A17" s="80">
        <v>45839</v>
      </c>
      <c r="B17" s="383"/>
      <c r="C17" s="385"/>
      <c r="D17" s="385" t="s">
        <v>493</v>
      </c>
      <c r="E17" s="386"/>
      <c r="F17" s="385" t="s">
        <v>473</v>
      </c>
      <c r="G17" s="385" t="s">
        <v>474</v>
      </c>
      <c r="H17" s="392" t="s">
        <v>494</v>
      </c>
    </row>
    <row r="18" spans="1:8" ht="26.25" customHeight="1">
      <c r="A18" s="80">
        <v>45839</v>
      </c>
      <c r="B18" s="383">
        <v>45865</v>
      </c>
      <c r="C18" s="385"/>
      <c r="D18" s="385" t="s">
        <v>495</v>
      </c>
      <c r="E18" s="386">
        <v>160</v>
      </c>
      <c r="F18" s="385" t="s">
        <v>473</v>
      </c>
      <c r="G18" s="385" t="s">
        <v>474</v>
      </c>
      <c r="H18" s="385" t="s">
        <v>496</v>
      </c>
    </row>
    <row r="19" spans="1:8" ht="26.25" customHeight="1">
      <c r="A19" s="80">
        <v>45839</v>
      </c>
      <c r="B19" s="383">
        <v>45865</v>
      </c>
      <c r="C19" s="385"/>
      <c r="D19" s="385" t="s">
        <v>497</v>
      </c>
      <c r="E19" s="386">
        <v>18.8</v>
      </c>
      <c r="F19" s="385" t="s">
        <v>473</v>
      </c>
      <c r="G19" s="385" t="s">
        <v>474</v>
      </c>
      <c r="H19" s="385" t="s">
        <v>498</v>
      </c>
    </row>
    <row r="20" spans="1:8" ht="26.25" customHeight="1">
      <c r="A20" s="80">
        <v>45839</v>
      </c>
      <c r="B20" s="383"/>
      <c r="C20" s="384" t="s">
        <v>471</v>
      </c>
      <c r="D20" s="385" t="s">
        <v>499</v>
      </c>
      <c r="E20" s="386">
        <v>1.75</v>
      </c>
      <c r="F20" s="385" t="s">
        <v>473</v>
      </c>
      <c r="G20" s="385" t="s">
        <v>474</v>
      </c>
      <c r="H20" s="385" t="s">
        <v>452</v>
      </c>
    </row>
    <row r="21" spans="1:8" ht="26.25" customHeight="1">
      <c r="A21" s="80">
        <v>45839</v>
      </c>
      <c r="B21" s="383">
        <v>45868</v>
      </c>
      <c r="C21" s="385"/>
      <c r="D21" s="385" t="s">
        <v>500</v>
      </c>
      <c r="E21" s="386">
        <v>1.49</v>
      </c>
      <c r="F21" s="385" t="s">
        <v>473</v>
      </c>
      <c r="G21" s="385" t="s">
        <v>474</v>
      </c>
      <c r="H21" s="385" t="s">
        <v>501</v>
      </c>
    </row>
    <row r="22" spans="1:8" ht="26.25" customHeight="1">
      <c r="A22" s="80">
        <v>45839</v>
      </c>
      <c r="B22" s="383">
        <v>45868</v>
      </c>
      <c r="C22" s="385"/>
      <c r="D22" s="385" t="s">
        <v>500</v>
      </c>
      <c r="E22" s="386">
        <v>3.98</v>
      </c>
      <c r="F22" s="385" t="s">
        <v>473</v>
      </c>
      <c r="G22" s="385" t="s">
        <v>474</v>
      </c>
      <c r="H22" s="385" t="s">
        <v>502</v>
      </c>
    </row>
    <row r="23" spans="1:8" ht="26.25" customHeight="1">
      <c r="A23" s="80">
        <v>45839</v>
      </c>
      <c r="B23" s="383">
        <v>45868</v>
      </c>
      <c r="C23" s="384" t="s">
        <v>471</v>
      </c>
      <c r="D23" s="385" t="s">
        <v>499</v>
      </c>
      <c r="E23" s="386">
        <v>25.99</v>
      </c>
      <c r="F23" s="385" t="s">
        <v>473</v>
      </c>
      <c r="G23" s="385" t="s">
        <v>474</v>
      </c>
      <c r="H23" s="385" t="s">
        <v>451</v>
      </c>
    </row>
    <row r="24" spans="1:8" ht="26.25" customHeight="1">
      <c r="A24" s="80">
        <v>45839</v>
      </c>
      <c r="B24" s="383">
        <v>45868</v>
      </c>
      <c r="C24" s="385"/>
      <c r="D24" s="385" t="s">
        <v>503</v>
      </c>
      <c r="E24" s="386">
        <v>1.65</v>
      </c>
      <c r="F24" s="385" t="s">
        <v>473</v>
      </c>
      <c r="G24" s="385" t="s">
        <v>474</v>
      </c>
      <c r="H24" s="385" t="s">
        <v>504</v>
      </c>
    </row>
    <row r="25" spans="1:8" ht="26.25" customHeight="1">
      <c r="A25" s="80">
        <v>45839</v>
      </c>
      <c r="B25" s="383">
        <v>45868</v>
      </c>
      <c r="C25" s="384" t="s">
        <v>471</v>
      </c>
      <c r="D25" s="385" t="s">
        <v>499</v>
      </c>
      <c r="E25" s="386">
        <v>3.1</v>
      </c>
      <c r="F25" s="385" t="s">
        <v>473</v>
      </c>
      <c r="G25" s="385" t="s">
        <v>474</v>
      </c>
      <c r="H25" s="385" t="s">
        <v>452</v>
      </c>
    </row>
    <row r="26" spans="1:8" ht="26.25" customHeight="1">
      <c r="A26" s="80">
        <v>45839</v>
      </c>
      <c r="B26" s="383">
        <v>45869</v>
      </c>
      <c r="C26" s="384" t="s">
        <v>471</v>
      </c>
      <c r="D26" s="385" t="s">
        <v>499</v>
      </c>
      <c r="E26" s="386">
        <v>24.6</v>
      </c>
      <c r="F26" s="385" t="s">
        <v>473</v>
      </c>
      <c r="G26" s="385" t="s">
        <v>474</v>
      </c>
      <c r="H26" s="385" t="s">
        <v>452</v>
      </c>
    </row>
    <row r="27" spans="1:8" ht="26.25" customHeight="1">
      <c r="A27" s="80">
        <v>45839</v>
      </c>
      <c r="B27" s="383">
        <v>45869</v>
      </c>
      <c r="C27" s="384" t="s">
        <v>471</v>
      </c>
      <c r="D27" s="385" t="s">
        <v>472</v>
      </c>
      <c r="E27" s="386">
        <v>4.95</v>
      </c>
      <c r="F27" s="385" t="s">
        <v>473</v>
      </c>
      <c r="G27" s="385" t="s">
        <v>474</v>
      </c>
      <c r="H27" s="385" t="s">
        <v>505</v>
      </c>
    </row>
    <row r="28" spans="1:8" ht="25.5" customHeight="1">
      <c r="A28" s="80">
        <v>45839</v>
      </c>
      <c r="B28" s="127"/>
      <c r="C28" s="50"/>
      <c r="D28" s="50"/>
      <c r="E28" s="82"/>
      <c r="F28" s="50"/>
      <c r="G28" s="50"/>
      <c r="H28" s="83"/>
    </row>
    <row r="29" spans="1:8" ht="26.25" customHeight="1">
      <c r="A29" s="80">
        <v>45839</v>
      </c>
      <c r="B29" s="127"/>
      <c r="C29" s="50"/>
      <c r="D29" s="84" t="s">
        <v>487</v>
      </c>
      <c r="E29" s="85">
        <f>SUM(E14:E27)</f>
        <v>386.21000000000004</v>
      </c>
      <c r="F29" s="50"/>
      <c r="G29" s="50"/>
      <c r="H29" s="83"/>
    </row>
    <row r="30" spans="1:8" ht="26.25" customHeight="1">
      <c r="A30" s="86"/>
      <c r="B30" s="388"/>
      <c r="C30" s="389"/>
      <c r="D30" s="389"/>
      <c r="E30" s="390" t="s">
        <v>506</v>
      </c>
      <c r="F30" s="389"/>
      <c r="G30" s="389"/>
      <c r="H30" s="391"/>
    </row>
    <row r="31" spans="1:8" ht="26.25" customHeight="1">
      <c r="A31" s="80">
        <v>45870</v>
      </c>
      <c r="B31" s="383">
        <v>45870</v>
      </c>
      <c r="C31" s="385"/>
      <c r="D31" s="385" t="s">
        <v>499</v>
      </c>
      <c r="E31" s="386">
        <v>1.75</v>
      </c>
      <c r="F31" s="385" t="s">
        <v>473</v>
      </c>
      <c r="G31" s="385" t="s">
        <v>474</v>
      </c>
      <c r="H31" s="385" t="s">
        <v>452</v>
      </c>
    </row>
    <row r="32" spans="1:8" ht="26.25" customHeight="1">
      <c r="A32" s="80">
        <v>45870</v>
      </c>
      <c r="B32" s="383">
        <v>45871</v>
      </c>
      <c r="C32" s="385"/>
      <c r="D32" s="385" t="s">
        <v>507</v>
      </c>
      <c r="E32" s="386">
        <v>27.99</v>
      </c>
      <c r="F32" s="385" t="s">
        <v>473</v>
      </c>
      <c r="G32" s="385" t="s">
        <v>474</v>
      </c>
      <c r="H32" s="385" t="s">
        <v>508</v>
      </c>
    </row>
    <row r="33" spans="1:8" ht="26.25" customHeight="1">
      <c r="A33" s="80">
        <v>45870</v>
      </c>
      <c r="B33" s="383">
        <v>45872</v>
      </c>
      <c r="C33" s="387" t="s">
        <v>476</v>
      </c>
      <c r="D33" s="385" t="s">
        <v>479</v>
      </c>
      <c r="E33" s="386">
        <v>128.5</v>
      </c>
      <c r="F33" s="385" t="s">
        <v>473</v>
      </c>
      <c r="G33" s="385" t="s">
        <v>474</v>
      </c>
      <c r="H33" s="385" t="s">
        <v>509</v>
      </c>
    </row>
    <row r="34" spans="1:8" ht="26.25" customHeight="1">
      <c r="A34" s="80">
        <v>45870</v>
      </c>
      <c r="B34" s="383">
        <v>45873</v>
      </c>
      <c r="C34" s="387" t="s">
        <v>476</v>
      </c>
      <c r="D34" s="385" t="s">
        <v>479</v>
      </c>
      <c r="E34" s="386">
        <v>8.5</v>
      </c>
      <c r="F34" s="385" t="s">
        <v>473</v>
      </c>
      <c r="G34" s="385" t="s">
        <v>474</v>
      </c>
      <c r="H34" s="385" t="s">
        <v>510</v>
      </c>
    </row>
    <row r="35" spans="1:8" ht="26.25" customHeight="1">
      <c r="A35" s="80">
        <v>45870</v>
      </c>
      <c r="B35" s="383">
        <v>45874</v>
      </c>
      <c r="C35" s="387" t="s">
        <v>476</v>
      </c>
      <c r="D35" s="385" t="s">
        <v>479</v>
      </c>
      <c r="E35" s="386">
        <v>70.8</v>
      </c>
      <c r="F35" s="385" t="s">
        <v>473</v>
      </c>
      <c r="G35" s="385" t="s">
        <v>474</v>
      </c>
      <c r="H35" s="385" t="s">
        <v>511</v>
      </c>
    </row>
    <row r="36" spans="1:8" ht="26.25" customHeight="1">
      <c r="A36" s="80">
        <v>45870</v>
      </c>
      <c r="B36" s="383">
        <v>45875</v>
      </c>
      <c r="C36" s="50"/>
      <c r="D36" s="50"/>
      <c r="E36" s="386">
        <v>80.92</v>
      </c>
      <c r="F36" s="385" t="s">
        <v>473</v>
      </c>
      <c r="G36" s="385" t="s">
        <v>474</v>
      </c>
      <c r="H36" s="385" t="s">
        <v>512</v>
      </c>
    </row>
    <row r="37" spans="1:8" ht="26.25" customHeight="1">
      <c r="A37" s="80">
        <v>45870</v>
      </c>
      <c r="B37" s="383">
        <v>45875</v>
      </c>
      <c r="C37" s="385"/>
      <c r="D37" s="385" t="s">
        <v>513</v>
      </c>
      <c r="E37" s="386">
        <v>2.8</v>
      </c>
      <c r="F37" s="385" t="s">
        <v>473</v>
      </c>
      <c r="G37" s="385" t="s">
        <v>474</v>
      </c>
      <c r="H37" s="385" t="s">
        <v>514</v>
      </c>
    </row>
    <row r="38" spans="1:8" ht="26.25" customHeight="1">
      <c r="A38" s="80">
        <v>45870</v>
      </c>
      <c r="B38" s="383">
        <v>45878</v>
      </c>
      <c r="C38" s="385"/>
      <c r="D38" s="385" t="s">
        <v>481</v>
      </c>
      <c r="E38" s="386">
        <v>44.18</v>
      </c>
      <c r="F38" s="385" t="s">
        <v>473</v>
      </c>
      <c r="G38" s="385" t="s">
        <v>474</v>
      </c>
      <c r="H38" s="385" t="s">
        <v>515</v>
      </c>
    </row>
    <row r="39" spans="1:8" ht="26.25" customHeight="1">
      <c r="A39" s="80">
        <v>45870</v>
      </c>
      <c r="B39" s="383">
        <v>45878</v>
      </c>
      <c r="C39" s="385"/>
      <c r="D39" s="385" t="s">
        <v>481</v>
      </c>
      <c r="E39" s="386">
        <v>40</v>
      </c>
      <c r="F39" s="385" t="s">
        <v>473</v>
      </c>
      <c r="G39" s="385" t="s">
        <v>474</v>
      </c>
      <c r="H39" s="385" t="s">
        <v>516</v>
      </c>
    </row>
    <row r="40" spans="1:8" ht="26.25" customHeight="1">
      <c r="A40" s="80">
        <v>45870</v>
      </c>
      <c r="B40" s="383">
        <v>45879</v>
      </c>
      <c r="C40" s="385"/>
      <c r="D40" s="385" t="s">
        <v>481</v>
      </c>
      <c r="E40" s="386">
        <v>39.950000000000003</v>
      </c>
      <c r="F40" s="385" t="s">
        <v>473</v>
      </c>
      <c r="G40" s="385" t="s">
        <v>474</v>
      </c>
      <c r="H40" s="385" t="s">
        <v>517</v>
      </c>
    </row>
    <row r="41" spans="1:8" ht="26.25" customHeight="1">
      <c r="A41" s="80">
        <v>45870</v>
      </c>
      <c r="B41" s="383">
        <v>45884</v>
      </c>
      <c r="C41" s="385"/>
      <c r="D41" s="385" t="s">
        <v>518</v>
      </c>
      <c r="E41" s="386">
        <v>9.33</v>
      </c>
      <c r="F41" s="385" t="s">
        <v>473</v>
      </c>
      <c r="G41" s="385" t="s">
        <v>474</v>
      </c>
      <c r="H41" s="385" t="s">
        <v>519</v>
      </c>
    </row>
    <row r="42" spans="1:8" ht="26.25" customHeight="1">
      <c r="A42" s="80">
        <v>45870</v>
      </c>
      <c r="B42" s="383">
        <v>45886</v>
      </c>
      <c r="C42" s="385"/>
      <c r="D42" s="385" t="s">
        <v>491</v>
      </c>
      <c r="E42" s="386">
        <v>4.95</v>
      </c>
      <c r="F42" s="385" t="s">
        <v>473</v>
      </c>
      <c r="G42" s="385" t="s">
        <v>474</v>
      </c>
      <c r="H42" s="385" t="s">
        <v>520</v>
      </c>
    </row>
    <row r="43" spans="1:8" ht="26.25" customHeight="1">
      <c r="A43" s="80">
        <v>45870</v>
      </c>
      <c r="B43" s="383">
        <v>45889</v>
      </c>
      <c r="C43" s="385"/>
      <c r="D43" s="385" t="s">
        <v>521</v>
      </c>
      <c r="E43" s="386">
        <v>10</v>
      </c>
      <c r="F43" s="385" t="s">
        <v>473</v>
      </c>
      <c r="G43" s="385" t="s">
        <v>474</v>
      </c>
      <c r="H43" s="385" t="s">
        <v>522</v>
      </c>
    </row>
    <row r="44" spans="1:8" ht="26.25" customHeight="1">
      <c r="A44" s="80">
        <v>45870</v>
      </c>
      <c r="B44" s="383">
        <v>45891</v>
      </c>
      <c r="C44" s="50"/>
      <c r="D44" s="385" t="s">
        <v>491</v>
      </c>
      <c r="E44" s="386">
        <v>4.95</v>
      </c>
      <c r="F44" s="385" t="s">
        <v>473</v>
      </c>
      <c r="G44" s="385" t="s">
        <v>474</v>
      </c>
      <c r="H44" s="385" t="s">
        <v>520</v>
      </c>
    </row>
    <row r="45" spans="1:8" ht="26.25" customHeight="1">
      <c r="A45" s="80">
        <v>45870</v>
      </c>
      <c r="B45" s="383">
        <v>45891</v>
      </c>
      <c r="C45" s="384" t="s">
        <v>471</v>
      </c>
      <c r="D45" s="385" t="s">
        <v>491</v>
      </c>
      <c r="E45" s="386">
        <v>4.95</v>
      </c>
      <c r="F45" s="385" t="s">
        <v>473</v>
      </c>
      <c r="G45" s="385" t="s">
        <v>474</v>
      </c>
      <c r="H45" s="385" t="s">
        <v>520</v>
      </c>
    </row>
    <row r="46" spans="1:8" ht="26.25" customHeight="1">
      <c r="A46" s="80">
        <v>45870</v>
      </c>
      <c r="B46" s="383">
        <v>45894</v>
      </c>
      <c r="C46" s="387" t="s">
        <v>476</v>
      </c>
      <c r="D46" s="385" t="s">
        <v>523</v>
      </c>
      <c r="E46" s="386">
        <v>118.8</v>
      </c>
      <c r="F46" s="385" t="s">
        <v>473</v>
      </c>
      <c r="G46" s="385" t="s">
        <v>474</v>
      </c>
      <c r="H46" s="385" t="s">
        <v>524</v>
      </c>
    </row>
    <row r="47" spans="1:8" ht="26.25" customHeight="1">
      <c r="A47" s="80">
        <v>45870</v>
      </c>
      <c r="B47" s="383"/>
      <c r="C47" s="387" t="s">
        <v>476</v>
      </c>
      <c r="D47" s="385"/>
      <c r="E47" s="386">
        <v>39.99</v>
      </c>
      <c r="F47" s="385"/>
      <c r="G47" s="385"/>
      <c r="H47" s="385" t="s">
        <v>525</v>
      </c>
    </row>
    <row r="48" spans="1:8" ht="25.5" customHeight="1">
      <c r="A48" s="80">
        <v>45870</v>
      </c>
      <c r="B48" s="383"/>
      <c r="C48" s="384" t="s">
        <v>471</v>
      </c>
      <c r="D48" s="385" t="s">
        <v>491</v>
      </c>
      <c r="E48" s="386">
        <v>4.95</v>
      </c>
      <c r="F48" s="385"/>
      <c r="G48" s="385"/>
      <c r="H48" s="392"/>
    </row>
    <row r="49" spans="1:8" ht="26.25" customHeight="1">
      <c r="A49" s="80">
        <v>45870</v>
      </c>
      <c r="B49" s="383"/>
      <c r="C49" s="385"/>
      <c r="D49" s="385"/>
      <c r="E49" s="386"/>
      <c r="F49" s="385"/>
      <c r="G49" s="385"/>
      <c r="H49" s="392"/>
    </row>
    <row r="50" spans="1:8" ht="26.25" customHeight="1">
      <c r="A50" s="80">
        <v>45870</v>
      </c>
      <c r="B50" s="127"/>
      <c r="C50" s="50"/>
      <c r="D50" s="84" t="s">
        <v>487</v>
      </c>
      <c r="E50" s="85">
        <f>SUM(E31:E48)</f>
        <v>643.31000000000006</v>
      </c>
      <c r="F50" s="50"/>
      <c r="G50" s="50"/>
      <c r="H50" s="83"/>
    </row>
    <row r="51" spans="1:8" ht="26.25" customHeight="1">
      <c r="A51" s="86"/>
      <c r="B51" s="388"/>
      <c r="C51" s="389"/>
      <c r="D51" s="389"/>
      <c r="E51" s="390"/>
      <c r="F51" s="389"/>
      <c r="G51" s="389"/>
      <c r="H51" s="391"/>
    </row>
    <row r="52" spans="1:8" ht="26.25" customHeight="1">
      <c r="A52" s="81">
        <v>45901</v>
      </c>
      <c r="B52" s="383">
        <v>45901</v>
      </c>
      <c r="C52" s="393" t="s">
        <v>526</v>
      </c>
      <c r="D52" s="385" t="s">
        <v>527</v>
      </c>
      <c r="E52" s="386">
        <v>1.75</v>
      </c>
      <c r="F52" s="386" t="s">
        <v>473</v>
      </c>
      <c r="G52" s="385" t="s">
        <v>474</v>
      </c>
      <c r="H52" s="385" t="s">
        <v>528</v>
      </c>
    </row>
    <row r="53" spans="1:8" ht="26.25" customHeight="1">
      <c r="A53" s="81">
        <v>45901</v>
      </c>
      <c r="B53" s="383">
        <v>45901</v>
      </c>
      <c r="C53" s="393" t="s">
        <v>526</v>
      </c>
      <c r="D53" s="385" t="s">
        <v>527</v>
      </c>
      <c r="E53" s="386">
        <v>7.95</v>
      </c>
      <c r="F53" s="386" t="s">
        <v>473</v>
      </c>
      <c r="G53" s="385" t="s">
        <v>474</v>
      </c>
      <c r="H53" s="385" t="s">
        <v>529</v>
      </c>
    </row>
    <row r="54" spans="1:8" ht="26.25" customHeight="1">
      <c r="A54" s="81">
        <v>45901</v>
      </c>
      <c r="B54" s="383">
        <v>45916</v>
      </c>
      <c r="C54" s="393" t="s">
        <v>526</v>
      </c>
      <c r="D54" s="385" t="s">
        <v>500</v>
      </c>
      <c r="E54" s="386">
        <v>3.05</v>
      </c>
      <c r="F54" s="386" t="s">
        <v>473</v>
      </c>
      <c r="G54" s="385" t="s">
        <v>474</v>
      </c>
      <c r="H54" s="385" t="s">
        <v>530</v>
      </c>
    </row>
    <row r="55" spans="1:8" ht="26.25" customHeight="1">
      <c r="A55" s="81">
        <v>45901</v>
      </c>
      <c r="B55" s="394" t="s">
        <v>531</v>
      </c>
      <c r="C55" s="50"/>
      <c r="D55" s="385" t="s">
        <v>532</v>
      </c>
      <c r="E55" s="386">
        <v>6.85</v>
      </c>
      <c r="F55" s="386" t="s">
        <v>473</v>
      </c>
      <c r="G55" s="385" t="s">
        <v>474</v>
      </c>
      <c r="H55" s="392" t="s">
        <v>533</v>
      </c>
    </row>
    <row r="56" spans="1:8" ht="26.25" customHeight="1">
      <c r="A56" s="81">
        <v>45901</v>
      </c>
      <c r="B56" s="394" t="s">
        <v>531</v>
      </c>
      <c r="C56" s="50"/>
      <c r="D56" s="385" t="s">
        <v>534</v>
      </c>
      <c r="E56" s="386">
        <v>23.18</v>
      </c>
      <c r="F56" s="386" t="s">
        <v>473</v>
      </c>
      <c r="G56" s="385" t="s">
        <v>474</v>
      </c>
      <c r="H56" s="392" t="s">
        <v>535</v>
      </c>
    </row>
    <row r="57" spans="1:8" ht="26.25" customHeight="1">
      <c r="A57" s="81">
        <v>45901</v>
      </c>
      <c r="B57" s="394" t="s">
        <v>536</v>
      </c>
      <c r="C57" s="50"/>
      <c r="D57" s="385" t="s">
        <v>537</v>
      </c>
      <c r="E57" s="386">
        <v>19.989999999999998</v>
      </c>
      <c r="F57" s="386" t="s">
        <v>473</v>
      </c>
      <c r="G57" s="385" t="s">
        <v>474</v>
      </c>
      <c r="H57" s="392" t="s">
        <v>538</v>
      </c>
    </row>
    <row r="58" spans="1:8" ht="26.25" customHeight="1">
      <c r="A58" s="81">
        <v>45901</v>
      </c>
      <c r="B58" s="394" t="s">
        <v>539</v>
      </c>
      <c r="C58" s="50"/>
      <c r="D58" s="385" t="s">
        <v>540</v>
      </c>
      <c r="E58" s="386">
        <v>19.420000000000002</v>
      </c>
      <c r="F58" s="386" t="s">
        <v>473</v>
      </c>
      <c r="G58" s="385" t="s">
        <v>474</v>
      </c>
      <c r="H58" s="392" t="s">
        <v>541</v>
      </c>
    </row>
    <row r="59" spans="1:8" ht="26.25" customHeight="1">
      <c r="A59" s="81">
        <v>45901</v>
      </c>
      <c r="B59" s="394" t="s">
        <v>539</v>
      </c>
      <c r="C59" s="50"/>
      <c r="D59" s="385" t="s">
        <v>534</v>
      </c>
      <c r="E59" s="386">
        <v>34.15</v>
      </c>
      <c r="F59" s="386" t="s">
        <v>473</v>
      </c>
      <c r="G59" s="385" t="s">
        <v>474</v>
      </c>
      <c r="H59" s="392" t="s">
        <v>542</v>
      </c>
    </row>
    <row r="60" spans="1:8" ht="26.25" customHeight="1">
      <c r="A60" s="81">
        <v>45901</v>
      </c>
      <c r="B60" s="394" t="s">
        <v>539</v>
      </c>
      <c r="C60" s="50"/>
      <c r="D60" s="385" t="s">
        <v>543</v>
      </c>
      <c r="E60" s="386">
        <v>70.8</v>
      </c>
      <c r="F60" s="386" t="s">
        <v>473</v>
      </c>
      <c r="G60" s="385" t="s">
        <v>474</v>
      </c>
      <c r="H60" s="392" t="s">
        <v>544</v>
      </c>
    </row>
    <row r="61" spans="1:8" ht="26.25" customHeight="1">
      <c r="A61" s="81">
        <v>45901</v>
      </c>
      <c r="B61" s="394" t="s">
        <v>545</v>
      </c>
      <c r="C61" s="50"/>
      <c r="D61" s="385" t="s">
        <v>546</v>
      </c>
      <c r="E61" s="386">
        <v>4.95</v>
      </c>
      <c r="F61" s="386" t="s">
        <v>473</v>
      </c>
      <c r="G61" s="385" t="s">
        <v>474</v>
      </c>
      <c r="H61" s="392" t="s">
        <v>547</v>
      </c>
    </row>
    <row r="62" spans="1:8" ht="26.25" customHeight="1">
      <c r="A62" s="81">
        <v>45901</v>
      </c>
      <c r="B62" s="394" t="s">
        <v>545</v>
      </c>
      <c r="C62" s="50"/>
      <c r="D62" s="385" t="s">
        <v>548</v>
      </c>
      <c r="E62" s="386">
        <v>4.95</v>
      </c>
      <c r="F62" s="386" t="s">
        <v>473</v>
      </c>
      <c r="G62" s="385" t="s">
        <v>474</v>
      </c>
      <c r="H62" s="392" t="s">
        <v>549</v>
      </c>
    </row>
    <row r="63" spans="1:8" ht="26.25" customHeight="1">
      <c r="A63" s="81">
        <v>45901</v>
      </c>
      <c r="B63" s="394" t="s">
        <v>550</v>
      </c>
      <c r="C63" s="50"/>
      <c r="D63" s="385" t="s">
        <v>551</v>
      </c>
      <c r="E63" s="386">
        <v>46.87</v>
      </c>
      <c r="F63" s="386" t="s">
        <v>473</v>
      </c>
      <c r="G63" s="385" t="s">
        <v>474</v>
      </c>
      <c r="H63" s="392" t="s">
        <v>552</v>
      </c>
    </row>
    <row r="64" spans="1:8" ht="26.25" customHeight="1">
      <c r="A64" s="81">
        <v>45901</v>
      </c>
      <c r="B64" s="394" t="s">
        <v>553</v>
      </c>
      <c r="C64" s="50"/>
      <c r="D64" s="385" t="s">
        <v>540</v>
      </c>
      <c r="E64" s="386">
        <v>8.99</v>
      </c>
      <c r="F64" s="386" t="s">
        <v>473</v>
      </c>
      <c r="G64" s="385" t="s">
        <v>474</v>
      </c>
      <c r="H64" s="392" t="s">
        <v>554</v>
      </c>
    </row>
    <row r="65" spans="1:8" ht="26.25" customHeight="1">
      <c r="A65" s="81">
        <v>45901</v>
      </c>
      <c r="B65" s="394" t="s">
        <v>555</v>
      </c>
      <c r="C65" s="50"/>
      <c r="D65" s="385" t="s">
        <v>556</v>
      </c>
      <c r="E65" s="386">
        <v>214.67</v>
      </c>
      <c r="F65" s="386" t="s">
        <v>473</v>
      </c>
      <c r="G65" s="385" t="s">
        <v>474</v>
      </c>
      <c r="H65" s="392" t="s">
        <v>557</v>
      </c>
    </row>
    <row r="66" spans="1:8" ht="26.25" customHeight="1">
      <c r="A66" s="81">
        <v>45901</v>
      </c>
      <c r="B66" s="394" t="s">
        <v>558</v>
      </c>
      <c r="C66" s="50"/>
      <c r="D66" s="385" t="s">
        <v>500</v>
      </c>
      <c r="E66" s="386">
        <v>3.05</v>
      </c>
      <c r="F66" s="386" t="s">
        <v>473</v>
      </c>
      <c r="G66" s="385" t="s">
        <v>474</v>
      </c>
      <c r="H66" s="392" t="s">
        <v>530</v>
      </c>
    </row>
    <row r="67" spans="1:8" ht="26.25" customHeight="1">
      <c r="A67" s="81">
        <v>45901</v>
      </c>
      <c r="B67" s="394" t="s">
        <v>559</v>
      </c>
      <c r="C67" s="50"/>
      <c r="D67" s="385" t="s">
        <v>560</v>
      </c>
      <c r="E67" s="386">
        <v>49.99</v>
      </c>
      <c r="F67" s="386" t="s">
        <v>473</v>
      </c>
      <c r="G67" s="385" t="s">
        <v>474</v>
      </c>
      <c r="H67" s="392" t="s">
        <v>561</v>
      </c>
    </row>
    <row r="68" spans="1:8" ht="26.25" customHeight="1">
      <c r="A68" s="81">
        <v>45901</v>
      </c>
      <c r="B68" s="394" t="s">
        <v>562</v>
      </c>
      <c r="C68" s="50"/>
      <c r="D68" s="385" t="s">
        <v>560</v>
      </c>
      <c r="E68" s="386">
        <v>6.49</v>
      </c>
      <c r="F68" s="386" t="s">
        <v>473</v>
      </c>
      <c r="G68" s="385" t="s">
        <v>474</v>
      </c>
      <c r="H68" s="392" t="s">
        <v>563</v>
      </c>
    </row>
    <row r="69" spans="1:8" ht="26.25" customHeight="1">
      <c r="A69" s="81">
        <v>45901</v>
      </c>
      <c r="B69" s="394" t="s">
        <v>564</v>
      </c>
      <c r="C69" s="50"/>
      <c r="D69" s="385" t="s">
        <v>565</v>
      </c>
      <c r="E69" s="386">
        <v>8</v>
      </c>
      <c r="F69" s="386" t="s">
        <v>473</v>
      </c>
      <c r="G69" s="385" t="s">
        <v>474</v>
      </c>
      <c r="H69" s="392" t="s">
        <v>128</v>
      </c>
    </row>
    <row r="70" spans="1:8" ht="26.25" customHeight="1">
      <c r="A70" s="81">
        <v>45901</v>
      </c>
      <c r="B70" s="394" t="s">
        <v>566</v>
      </c>
      <c r="C70" s="50"/>
      <c r="D70" s="385" t="s">
        <v>560</v>
      </c>
      <c r="E70" s="386">
        <v>8.49</v>
      </c>
      <c r="F70" s="386" t="s">
        <v>473</v>
      </c>
      <c r="G70" s="385" t="s">
        <v>474</v>
      </c>
      <c r="H70" s="392" t="s">
        <v>567</v>
      </c>
    </row>
    <row r="71" spans="1:8" ht="26.25" customHeight="1">
      <c r="A71" s="81">
        <v>45901</v>
      </c>
      <c r="B71" s="394" t="s">
        <v>568</v>
      </c>
      <c r="C71" s="50"/>
      <c r="D71" s="385" t="s">
        <v>507</v>
      </c>
      <c r="E71" s="386">
        <v>90.95</v>
      </c>
      <c r="F71" s="386" t="s">
        <v>473</v>
      </c>
      <c r="G71" s="385" t="s">
        <v>474</v>
      </c>
      <c r="H71" s="392" t="s">
        <v>561</v>
      </c>
    </row>
    <row r="72" spans="1:8" ht="26.25" customHeight="1">
      <c r="A72" s="81">
        <v>45901</v>
      </c>
      <c r="B72" s="394" t="s">
        <v>568</v>
      </c>
      <c r="C72" s="50"/>
      <c r="D72" s="385" t="s">
        <v>569</v>
      </c>
      <c r="E72" s="386">
        <v>157.08000000000001</v>
      </c>
      <c r="F72" s="386" t="s">
        <v>473</v>
      </c>
      <c r="G72" s="385" t="s">
        <v>474</v>
      </c>
      <c r="H72" s="392" t="s">
        <v>570</v>
      </c>
    </row>
    <row r="73" spans="1:8" ht="26.25" customHeight="1">
      <c r="A73" s="81">
        <v>45901</v>
      </c>
      <c r="B73" s="394" t="s">
        <v>568</v>
      </c>
      <c r="C73" s="50"/>
      <c r="D73" s="385" t="s">
        <v>497</v>
      </c>
      <c r="E73" s="386">
        <v>52.99</v>
      </c>
      <c r="F73" s="386" t="s">
        <v>473</v>
      </c>
      <c r="G73" s="385" t="s">
        <v>474</v>
      </c>
      <c r="H73" s="392" t="s">
        <v>571</v>
      </c>
    </row>
    <row r="74" spans="1:8" ht="26.25" customHeight="1">
      <c r="A74" s="81">
        <v>45901</v>
      </c>
      <c r="B74" s="394"/>
      <c r="C74" s="50"/>
      <c r="D74" s="385" t="s">
        <v>551</v>
      </c>
      <c r="E74" s="386">
        <v>9.6999999999999993</v>
      </c>
      <c r="F74" s="386" t="s">
        <v>473</v>
      </c>
      <c r="G74" s="385" t="s">
        <v>474</v>
      </c>
      <c r="H74" s="392" t="s">
        <v>572</v>
      </c>
    </row>
    <row r="75" spans="1:8" ht="26.25" customHeight="1">
      <c r="A75" s="81">
        <v>45901</v>
      </c>
      <c r="B75" s="127"/>
      <c r="C75" s="50"/>
      <c r="D75" s="50"/>
      <c r="E75" s="82"/>
      <c r="F75" s="82"/>
      <c r="G75" s="50"/>
      <c r="H75" s="83"/>
    </row>
    <row r="76" spans="1:8" ht="26.5" customHeight="1">
      <c r="A76" s="81">
        <v>45901</v>
      </c>
      <c r="B76" s="127"/>
      <c r="C76" s="50"/>
      <c r="D76" s="84" t="s">
        <v>487</v>
      </c>
      <c r="E76" s="85">
        <f>SUM(E52:E74)</f>
        <v>854.31000000000006</v>
      </c>
      <c r="F76" s="50"/>
      <c r="G76" s="50"/>
      <c r="H76" s="83"/>
    </row>
    <row r="77" spans="1:8" ht="26.5" customHeight="1">
      <c r="A77" s="126">
        <v>45901</v>
      </c>
      <c r="B77" s="388"/>
      <c r="C77" s="389"/>
      <c r="D77" s="389"/>
      <c r="E77" s="390"/>
      <c r="F77" s="389"/>
      <c r="G77" s="389"/>
      <c r="H77" s="391"/>
    </row>
    <row r="78" spans="1:8" ht="26.5" customHeight="1">
      <c r="A78" s="81">
        <v>45931</v>
      </c>
      <c r="B78" s="383">
        <v>45933</v>
      </c>
      <c r="C78" s="387" t="s">
        <v>476</v>
      </c>
      <c r="D78" s="385" t="s">
        <v>573</v>
      </c>
      <c r="E78" s="386">
        <v>20</v>
      </c>
      <c r="F78" s="385" t="s">
        <v>473</v>
      </c>
      <c r="G78" s="385" t="s">
        <v>474</v>
      </c>
      <c r="H78" s="385" t="s">
        <v>574</v>
      </c>
    </row>
    <row r="79" spans="1:8" ht="26.5" customHeight="1">
      <c r="A79" s="81">
        <v>45931</v>
      </c>
      <c r="B79" s="383">
        <v>45933</v>
      </c>
      <c r="C79" s="385"/>
      <c r="D79" s="385" t="s">
        <v>540</v>
      </c>
      <c r="E79" s="386">
        <v>8.64</v>
      </c>
      <c r="F79" s="385" t="s">
        <v>473</v>
      </c>
      <c r="G79" s="385" t="s">
        <v>474</v>
      </c>
      <c r="H79" s="385" t="s">
        <v>575</v>
      </c>
    </row>
    <row r="80" spans="1:8" ht="26.5" customHeight="1">
      <c r="A80" s="81">
        <v>45931</v>
      </c>
      <c r="B80" s="383">
        <v>45933</v>
      </c>
      <c r="C80" s="387" t="s">
        <v>476</v>
      </c>
      <c r="D80" s="385" t="s">
        <v>576</v>
      </c>
      <c r="E80" s="386">
        <v>70.8</v>
      </c>
      <c r="F80" s="385" t="s">
        <v>473</v>
      </c>
      <c r="G80" s="385" t="s">
        <v>474</v>
      </c>
      <c r="H80" s="385" t="s">
        <v>544</v>
      </c>
    </row>
    <row r="81" spans="1:8" ht="26.5" customHeight="1">
      <c r="A81" s="81">
        <v>45931</v>
      </c>
      <c r="B81" s="383">
        <v>45934</v>
      </c>
      <c r="C81" s="393" t="s">
        <v>526</v>
      </c>
      <c r="D81" s="385" t="s">
        <v>577</v>
      </c>
      <c r="E81" s="386">
        <v>30.33</v>
      </c>
      <c r="F81" s="385" t="s">
        <v>473</v>
      </c>
      <c r="G81" s="385" t="s">
        <v>474</v>
      </c>
      <c r="H81" s="385" t="s">
        <v>578</v>
      </c>
    </row>
    <row r="82" spans="1:8" ht="26.5" customHeight="1">
      <c r="A82" s="81">
        <v>45931</v>
      </c>
      <c r="B82" s="383">
        <v>45934</v>
      </c>
      <c r="C82" s="393" t="s">
        <v>526</v>
      </c>
      <c r="D82" s="385" t="s">
        <v>579</v>
      </c>
      <c r="E82" s="386">
        <v>26.1</v>
      </c>
      <c r="F82" s="385" t="s">
        <v>473</v>
      </c>
      <c r="G82" s="385" t="s">
        <v>474</v>
      </c>
      <c r="H82" s="385" t="s">
        <v>578</v>
      </c>
    </row>
    <row r="83" spans="1:8" ht="26.5" customHeight="1">
      <c r="A83" s="81">
        <v>45931</v>
      </c>
      <c r="B83" s="383">
        <v>45935</v>
      </c>
      <c r="C83" s="393" t="s">
        <v>526</v>
      </c>
      <c r="D83" s="385" t="s">
        <v>580</v>
      </c>
      <c r="E83" s="386">
        <v>13.8</v>
      </c>
      <c r="F83" s="385" t="s">
        <v>473</v>
      </c>
      <c r="G83" s="385" t="s">
        <v>474</v>
      </c>
      <c r="H83" s="385" t="s">
        <v>581</v>
      </c>
    </row>
    <row r="84" spans="1:8" ht="26.5" customHeight="1">
      <c r="A84" s="81">
        <v>45931</v>
      </c>
      <c r="B84" s="383">
        <v>45935</v>
      </c>
      <c r="C84" s="393" t="s">
        <v>526</v>
      </c>
      <c r="D84" s="385" t="s">
        <v>577</v>
      </c>
      <c r="E84" s="386">
        <v>6.66</v>
      </c>
      <c r="F84" s="385" t="s">
        <v>473</v>
      </c>
      <c r="G84" s="385" t="s">
        <v>474</v>
      </c>
      <c r="H84" s="385" t="s">
        <v>578</v>
      </c>
    </row>
    <row r="85" spans="1:8" ht="33" customHeight="1">
      <c r="A85" s="81">
        <v>45931</v>
      </c>
      <c r="B85" s="383">
        <v>45936</v>
      </c>
      <c r="C85" s="387" t="s">
        <v>476</v>
      </c>
      <c r="D85" s="385" t="s">
        <v>540</v>
      </c>
      <c r="E85" s="386">
        <v>16.989999999999998</v>
      </c>
      <c r="F85" s="385" t="s">
        <v>473</v>
      </c>
      <c r="G85" s="385" t="s">
        <v>474</v>
      </c>
      <c r="H85" s="385" t="s">
        <v>582</v>
      </c>
    </row>
    <row r="86" spans="1:8" ht="26.5" customHeight="1">
      <c r="A86" s="81">
        <v>45931</v>
      </c>
      <c r="B86" s="383">
        <v>45936</v>
      </c>
      <c r="C86" s="385"/>
      <c r="D86" s="385" t="s">
        <v>551</v>
      </c>
      <c r="E86" s="386">
        <v>9.6999999999999993</v>
      </c>
      <c r="F86" s="385" t="s">
        <v>473</v>
      </c>
      <c r="G86" s="385" t="s">
        <v>474</v>
      </c>
      <c r="H86" s="385" t="s">
        <v>583</v>
      </c>
    </row>
    <row r="87" spans="1:8" ht="26.5" customHeight="1">
      <c r="A87" s="81">
        <v>45931</v>
      </c>
      <c r="B87" s="383">
        <v>45940</v>
      </c>
      <c r="C87" s="385"/>
      <c r="D87" s="385" t="s">
        <v>140</v>
      </c>
      <c r="E87" s="386">
        <v>260</v>
      </c>
      <c r="F87" s="385" t="s">
        <v>473</v>
      </c>
      <c r="G87" s="385" t="s">
        <v>474</v>
      </c>
      <c r="H87" s="385" t="s">
        <v>584</v>
      </c>
    </row>
    <row r="88" spans="1:8" ht="26.5" customHeight="1">
      <c r="A88" s="81">
        <v>45931</v>
      </c>
      <c r="B88" s="383">
        <v>45938</v>
      </c>
      <c r="C88" s="387" t="s">
        <v>476</v>
      </c>
      <c r="D88" s="385" t="s">
        <v>585</v>
      </c>
      <c r="E88" s="386">
        <v>1950</v>
      </c>
      <c r="F88" s="385" t="s">
        <v>473</v>
      </c>
      <c r="G88" s="385" t="s">
        <v>474</v>
      </c>
      <c r="H88" s="385" t="s">
        <v>586</v>
      </c>
    </row>
    <row r="89" spans="1:8" ht="26.5" customHeight="1">
      <c r="A89" s="81">
        <v>45931</v>
      </c>
      <c r="B89" s="383">
        <v>45941</v>
      </c>
      <c r="C89" s="385"/>
      <c r="D89" s="385" t="s">
        <v>587</v>
      </c>
      <c r="E89" s="386">
        <v>55</v>
      </c>
      <c r="F89" s="385" t="s">
        <v>588</v>
      </c>
      <c r="G89" s="385" t="s">
        <v>474</v>
      </c>
      <c r="H89" s="385" t="s">
        <v>589</v>
      </c>
    </row>
    <row r="90" spans="1:8" ht="26.5" customHeight="1">
      <c r="A90" s="81">
        <v>45931</v>
      </c>
      <c r="B90" s="383">
        <v>45942</v>
      </c>
      <c r="C90" s="385"/>
      <c r="D90" s="385" t="s">
        <v>577</v>
      </c>
      <c r="E90" s="386">
        <v>7.99</v>
      </c>
      <c r="F90" s="385" t="s">
        <v>473</v>
      </c>
      <c r="G90" s="385" t="s">
        <v>474</v>
      </c>
      <c r="H90" s="385" t="s">
        <v>590</v>
      </c>
    </row>
    <row r="91" spans="1:8" ht="26.5" customHeight="1">
      <c r="A91" s="81">
        <v>45931</v>
      </c>
      <c r="B91" s="383">
        <v>45942</v>
      </c>
      <c r="C91" s="385"/>
      <c r="D91" s="385" t="s">
        <v>591</v>
      </c>
      <c r="E91" s="386">
        <v>2</v>
      </c>
      <c r="F91" s="385" t="s">
        <v>473</v>
      </c>
      <c r="G91" s="385" t="s">
        <v>474</v>
      </c>
      <c r="H91" s="385" t="s">
        <v>592</v>
      </c>
    </row>
    <row r="92" spans="1:8" ht="26.5" customHeight="1">
      <c r="A92" s="81">
        <v>45931</v>
      </c>
      <c r="B92" s="383">
        <v>45942</v>
      </c>
      <c r="C92" s="385"/>
      <c r="D92" s="385" t="s">
        <v>593</v>
      </c>
      <c r="E92" s="386">
        <v>10</v>
      </c>
      <c r="F92" s="385" t="s">
        <v>588</v>
      </c>
      <c r="G92" s="385" t="s">
        <v>474</v>
      </c>
      <c r="H92" s="385" t="s">
        <v>594</v>
      </c>
    </row>
    <row r="93" spans="1:8" ht="26.5" customHeight="1">
      <c r="A93" s="81">
        <v>45931</v>
      </c>
      <c r="B93" s="383">
        <v>45942</v>
      </c>
      <c r="C93" s="385"/>
      <c r="D93" s="385" t="s">
        <v>577</v>
      </c>
      <c r="E93" s="386">
        <v>40</v>
      </c>
      <c r="F93" s="385" t="s">
        <v>588</v>
      </c>
      <c r="G93" s="385" t="s">
        <v>474</v>
      </c>
      <c r="H93" s="385" t="s">
        <v>595</v>
      </c>
    </row>
    <row r="94" spans="1:8" ht="26.5" customHeight="1">
      <c r="A94" s="81">
        <v>45931</v>
      </c>
      <c r="B94" s="383">
        <v>45942</v>
      </c>
      <c r="C94" s="385"/>
      <c r="D94" s="385" t="s">
        <v>464</v>
      </c>
      <c r="E94" s="386">
        <v>214.67</v>
      </c>
      <c r="F94" s="385" t="s">
        <v>473</v>
      </c>
      <c r="G94" s="385" t="s">
        <v>474</v>
      </c>
      <c r="H94" s="385" t="s">
        <v>596</v>
      </c>
    </row>
    <row r="95" spans="1:8" ht="26.5" customHeight="1">
      <c r="A95" s="81">
        <v>45931</v>
      </c>
      <c r="B95" s="383">
        <v>45943</v>
      </c>
      <c r="C95" s="385"/>
      <c r="D95" s="385" t="s">
        <v>590</v>
      </c>
      <c r="E95" s="386">
        <v>19.989999999999998</v>
      </c>
      <c r="F95" s="385" t="s">
        <v>473</v>
      </c>
      <c r="G95" s="385" t="s">
        <v>474</v>
      </c>
      <c r="H95" s="385" t="s">
        <v>597</v>
      </c>
    </row>
    <row r="96" spans="1:8" ht="26.5" customHeight="1">
      <c r="A96" s="81">
        <v>45931</v>
      </c>
      <c r="B96" s="383">
        <v>45943</v>
      </c>
      <c r="C96" s="385"/>
      <c r="D96" s="385" t="s">
        <v>598</v>
      </c>
      <c r="E96" s="386">
        <v>7.99</v>
      </c>
      <c r="F96" s="385" t="s">
        <v>473</v>
      </c>
      <c r="G96" s="385" t="s">
        <v>474</v>
      </c>
      <c r="H96" s="385" t="s">
        <v>599</v>
      </c>
    </row>
    <row r="97" spans="1:8" ht="26.5" customHeight="1">
      <c r="A97" s="81">
        <v>45931</v>
      </c>
      <c r="B97" s="383">
        <v>45947</v>
      </c>
      <c r="C97" s="385"/>
      <c r="D97" s="385" t="s">
        <v>573</v>
      </c>
      <c r="E97" s="386">
        <v>8.99</v>
      </c>
      <c r="F97" s="385" t="s">
        <v>473</v>
      </c>
      <c r="G97" s="385" t="s">
        <v>474</v>
      </c>
      <c r="H97" s="385" t="s">
        <v>600</v>
      </c>
    </row>
    <row r="98" spans="1:8" ht="26.5" customHeight="1">
      <c r="A98" s="81">
        <v>45931</v>
      </c>
      <c r="B98" s="383">
        <v>45949</v>
      </c>
      <c r="C98" s="385"/>
      <c r="D98" s="385" t="s">
        <v>577</v>
      </c>
      <c r="E98" s="386">
        <v>10.5</v>
      </c>
      <c r="F98" s="385" t="s">
        <v>473</v>
      </c>
      <c r="G98" s="385" t="s">
        <v>474</v>
      </c>
      <c r="H98" s="385" t="s">
        <v>601</v>
      </c>
    </row>
    <row r="99" spans="1:8" ht="26.5" customHeight="1">
      <c r="A99" s="81">
        <v>45931</v>
      </c>
      <c r="B99" s="383">
        <v>45949</v>
      </c>
      <c r="C99" s="385"/>
      <c r="D99" s="385" t="s">
        <v>590</v>
      </c>
      <c r="E99" s="386">
        <v>5.94</v>
      </c>
      <c r="F99" s="385" t="s">
        <v>473</v>
      </c>
      <c r="G99" s="385" t="s">
        <v>474</v>
      </c>
      <c r="H99" s="385" t="s">
        <v>602</v>
      </c>
    </row>
    <row r="100" spans="1:8" ht="26.5" customHeight="1">
      <c r="A100" s="81">
        <v>45931</v>
      </c>
      <c r="B100" s="383">
        <v>45956</v>
      </c>
      <c r="C100" s="385"/>
      <c r="D100" s="385" t="s">
        <v>590</v>
      </c>
      <c r="E100" s="386">
        <v>23.01</v>
      </c>
      <c r="F100" s="385" t="s">
        <v>473</v>
      </c>
      <c r="G100" s="385" t="s">
        <v>474</v>
      </c>
      <c r="H100" s="385" t="s">
        <v>603</v>
      </c>
    </row>
    <row r="101" spans="1:8" ht="26.5" customHeight="1">
      <c r="A101" s="81">
        <v>45931</v>
      </c>
      <c r="B101" s="383">
        <v>45956</v>
      </c>
      <c r="C101" s="385"/>
      <c r="D101" s="385" t="s">
        <v>590</v>
      </c>
      <c r="E101" s="386">
        <v>46.99</v>
      </c>
      <c r="F101" s="385" t="s">
        <v>473</v>
      </c>
      <c r="G101" s="385" t="s">
        <v>474</v>
      </c>
      <c r="H101" s="385" t="s">
        <v>604</v>
      </c>
    </row>
    <row r="102" spans="1:8" ht="26.5" customHeight="1">
      <c r="A102" s="81">
        <v>45931</v>
      </c>
      <c r="B102" s="383">
        <v>45956</v>
      </c>
      <c r="C102" s="385"/>
      <c r="D102" s="385" t="s">
        <v>495</v>
      </c>
      <c r="E102" s="386">
        <v>80</v>
      </c>
      <c r="F102" s="385" t="s">
        <v>473</v>
      </c>
      <c r="G102" s="385" t="s">
        <v>474</v>
      </c>
      <c r="H102" s="385" t="s">
        <v>605</v>
      </c>
    </row>
    <row r="103" spans="1:8" ht="26.5" customHeight="1">
      <c r="A103" s="81">
        <v>45931</v>
      </c>
      <c r="B103" s="383">
        <v>45956</v>
      </c>
      <c r="C103" s="385"/>
      <c r="D103" s="385" t="s">
        <v>495</v>
      </c>
      <c r="E103" s="386">
        <v>160</v>
      </c>
      <c r="F103" s="385" t="s">
        <v>473</v>
      </c>
      <c r="G103" s="385" t="s">
        <v>474</v>
      </c>
      <c r="H103" s="385" t="s">
        <v>606</v>
      </c>
    </row>
    <row r="104" spans="1:8" ht="26.5" customHeight="1">
      <c r="A104" s="81">
        <v>45931</v>
      </c>
      <c r="B104" s="383">
        <v>45958</v>
      </c>
      <c r="C104" s="385"/>
      <c r="D104" s="385" t="s">
        <v>607</v>
      </c>
      <c r="E104" s="386">
        <v>6.2</v>
      </c>
      <c r="F104" s="385" t="s">
        <v>473</v>
      </c>
      <c r="G104" s="385" t="s">
        <v>474</v>
      </c>
      <c r="H104" s="385" t="s">
        <v>608</v>
      </c>
    </row>
    <row r="105" spans="1:8" ht="26.5" customHeight="1">
      <c r="A105" s="81">
        <v>45931</v>
      </c>
      <c r="B105" s="383">
        <v>45959</v>
      </c>
      <c r="C105" s="385"/>
      <c r="D105" s="385" t="s">
        <v>590</v>
      </c>
      <c r="E105" s="386">
        <v>20</v>
      </c>
      <c r="F105" s="385" t="s">
        <v>473</v>
      </c>
      <c r="G105" s="385" t="s">
        <v>474</v>
      </c>
      <c r="H105" s="385" t="s">
        <v>609</v>
      </c>
    </row>
    <row r="106" spans="1:8" ht="26.5" customHeight="1">
      <c r="A106" s="81">
        <v>45931</v>
      </c>
      <c r="B106" s="127"/>
      <c r="C106" s="50"/>
      <c r="D106" s="50"/>
      <c r="E106" s="82"/>
      <c r="F106" s="50"/>
      <c r="G106" s="50"/>
      <c r="H106" s="83"/>
    </row>
    <row r="107" spans="1:8" ht="26.5" customHeight="1">
      <c r="A107" s="81">
        <v>45931</v>
      </c>
      <c r="B107" s="127"/>
      <c r="C107" s="50"/>
      <c r="D107" s="84" t="s">
        <v>487</v>
      </c>
      <c r="E107" s="85">
        <f>SUM(E78:E105)</f>
        <v>3132.2899999999991</v>
      </c>
      <c r="F107" s="50"/>
      <c r="G107" s="50"/>
      <c r="H107" s="83"/>
    </row>
    <row r="108" spans="1:8" ht="26.5" customHeight="1">
      <c r="A108" s="86"/>
      <c r="B108" s="395"/>
      <c r="C108" s="389"/>
      <c r="D108" s="389"/>
      <c r="E108" s="390"/>
      <c r="F108" s="389"/>
      <c r="G108" s="389"/>
      <c r="H108" s="391"/>
    </row>
    <row r="109" spans="1:8" ht="26.5" customHeight="1">
      <c r="A109" s="81">
        <v>45962</v>
      </c>
      <c r="B109" s="383"/>
      <c r="C109" s="385"/>
      <c r="D109" s="385" t="s">
        <v>610</v>
      </c>
      <c r="E109" s="386">
        <v>40</v>
      </c>
      <c r="F109" s="385" t="s">
        <v>588</v>
      </c>
      <c r="G109" s="385" t="s">
        <v>474</v>
      </c>
      <c r="H109" s="385" t="s">
        <v>611</v>
      </c>
    </row>
    <row r="110" spans="1:8" ht="26.5" customHeight="1">
      <c r="A110" s="81">
        <v>45962</v>
      </c>
      <c r="B110" s="383"/>
      <c r="C110" s="385"/>
      <c r="D110" s="385" t="s">
        <v>610</v>
      </c>
      <c r="E110" s="386">
        <v>15</v>
      </c>
      <c r="F110" s="385" t="s">
        <v>588</v>
      </c>
      <c r="G110" s="385" t="s">
        <v>474</v>
      </c>
      <c r="H110" s="385" t="s">
        <v>612</v>
      </c>
    </row>
    <row r="111" spans="1:8" ht="26.5" customHeight="1">
      <c r="A111" s="81">
        <v>45962</v>
      </c>
      <c r="B111" s="198"/>
      <c r="C111" s="50"/>
      <c r="D111" s="385" t="s">
        <v>610</v>
      </c>
      <c r="E111" s="386">
        <v>100</v>
      </c>
      <c r="F111" s="385" t="s">
        <v>488</v>
      </c>
      <c r="G111" s="385" t="s">
        <v>474</v>
      </c>
      <c r="H111" s="392" t="s">
        <v>613</v>
      </c>
    </row>
    <row r="112" spans="1:8" ht="26.5" customHeight="1">
      <c r="A112" s="81">
        <v>45962</v>
      </c>
      <c r="B112" s="198"/>
      <c r="C112" s="50"/>
      <c r="D112" s="385" t="s">
        <v>610</v>
      </c>
      <c r="E112" s="386">
        <v>35</v>
      </c>
      <c r="F112" s="385" t="s">
        <v>588</v>
      </c>
      <c r="G112" s="385" t="s">
        <v>474</v>
      </c>
      <c r="H112" s="385" t="s">
        <v>614</v>
      </c>
    </row>
    <row r="113" spans="1:8" ht="26.5" customHeight="1">
      <c r="A113" s="81">
        <v>45962</v>
      </c>
      <c r="B113" s="198"/>
      <c r="C113" s="387" t="s">
        <v>476</v>
      </c>
      <c r="D113" s="385" t="s">
        <v>596</v>
      </c>
      <c r="E113" s="386">
        <v>17.059999999999999</v>
      </c>
      <c r="F113" s="385" t="s">
        <v>615</v>
      </c>
      <c r="G113" s="385" t="s">
        <v>474</v>
      </c>
      <c r="H113" s="385" t="s">
        <v>616</v>
      </c>
    </row>
    <row r="114" spans="1:8" ht="26.5" customHeight="1">
      <c r="A114" s="81">
        <v>45962</v>
      </c>
      <c r="B114" s="198"/>
      <c r="C114" s="387" t="s">
        <v>476</v>
      </c>
      <c r="D114" s="385" t="s">
        <v>573</v>
      </c>
      <c r="E114" s="386">
        <v>20</v>
      </c>
      <c r="F114" s="385" t="s">
        <v>615</v>
      </c>
      <c r="G114" s="385" t="s">
        <v>474</v>
      </c>
      <c r="H114" s="385" t="s">
        <v>574</v>
      </c>
    </row>
    <row r="115" spans="1:8" ht="26.5" customHeight="1">
      <c r="A115" s="81">
        <v>45962</v>
      </c>
      <c r="B115" s="198"/>
      <c r="C115" s="387" t="s">
        <v>476</v>
      </c>
      <c r="D115" s="385" t="s">
        <v>573</v>
      </c>
      <c r="E115" s="386">
        <v>70.8</v>
      </c>
      <c r="F115" s="385" t="s">
        <v>615</v>
      </c>
      <c r="G115" s="385" t="s">
        <v>474</v>
      </c>
      <c r="H115" s="385" t="s">
        <v>617</v>
      </c>
    </row>
    <row r="116" spans="1:8" ht="26.5" customHeight="1">
      <c r="A116" s="81">
        <v>45962</v>
      </c>
      <c r="B116" s="198"/>
      <c r="C116" s="50"/>
      <c r="D116" s="385" t="s">
        <v>527</v>
      </c>
      <c r="E116" s="386">
        <v>7.48</v>
      </c>
      <c r="F116" s="385" t="s">
        <v>615</v>
      </c>
      <c r="G116" s="385" t="s">
        <v>474</v>
      </c>
      <c r="H116" s="385" t="s">
        <v>618</v>
      </c>
    </row>
    <row r="117" spans="1:8" ht="26.5" customHeight="1">
      <c r="A117" s="128">
        <v>45962</v>
      </c>
      <c r="B117" s="199"/>
      <c r="C117" s="387" t="s">
        <v>476</v>
      </c>
      <c r="D117" s="396" t="s">
        <v>585</v>
      </c>
      <c r="E117" s="397">
        <v>2500</v>
      </c>
      <c r="F117" s="396" t="s">
        <v>588</v>
      </c>
      <c r="G117" s="129" t="s">
        <v>489</v>
      </c>
      <c r="H117" s="398" t="s">
        <v>619</v>
      </c>
    </row>
    <row r="118" spans="1:8" ht="26.5" customHeight="1">
      <c r="A118" s="81">
        <v>45962</v>
      </c>
      <c r="B118" s="198"/>
      <c r="C118" s="387" t="s">
        <v>476</v>
      </c>
      <c r="D118" s="385"/>
      <c r="E118" s="386">
        <v>260</v>
      </c>
      <c r="F118" s="385" t="s">
        <v>615</v>
      </c>
      <c r="G118" s="385" t="s">
        <v>474</v>
      </c>
      <c r="H118" s="385" t="s">
        <v>620</v>
      </c>
    </row>
    <row r="119" spans="1:8" ht="26.5" customHeight="1">
      <c r="A119" s="81">
        <v>45962</v>
      </c>
      <c r="B119" s="198"/>
      <c r="C119" s="50"/>
      <c r="D119" s="385" t="s">
        <v>621</v>
      </c>
      <c r="E119" s="386">
        <v>68.28</v>
      </c>
      <c r="F119" s="385" t="s">
        <v>615</v>
      </c>
      <c r="G119" s="385" t="s">
        <v>474</v>
      </c>
      <c r="H119" s="392" t="s">
        <v>622</v>
      </c>
    </row>
    <row r="120" spans="1:8" ht="26.5" customHeight="1">
      <c r="A120" s="81">
        <v>45962</v>
      </c>
      <c r="B120" s="383">
        <v>45976</v>
      </c>
      <c r="C120" s="385"/>
      <c r="D120" s="385" t="s">
        <v>610</v>
      </c>
      <c r="E120" s="386">
        <v>30</v>
      </c>
      <c r="F120" s="385" t="s">
        <v>588</v>
      </c>
      <c r="G120" s="385" t="s">
        <v>474</v>
      </c>
      <c r="H120" s="392" t="s">
        <v>623</v>
      </c>
    </row>
    <row r="121" spans="1:8" ht="26.5" customHeight="1">
      <c r="A121" s="81">
        <v>45962</v>
      </c>
      <c r="B121" s="383">
        <v>45975</v>
      </c>
      <c r="C121" s="387" t="s">
        <v>476</v>
      </c>
      <c r="D121" s="385" t="s">
        <v>464</v>
      </c>
      <c r="E121" s="386">
        <v>283.19</v>
      </c>
      <c r="F121" s="385" t="s">
        <v>615</v>
      </c>
      <c r="G121" s="385" t="s">
        <v>474</v>
      </c>
      <c r="H121" s="392" t="s">
        <v>624</v>
      </c>
    </row>
    <row r="122" spans="1:8" ht="26.5" customHeight="1">
      <c r="A122" s="81">
        <v>45962</v>
      </c>
      <c r="B122" s="383">
        <v>45971</v>
      </c>
      <c r="C122" s="50"/>
      <c r="D122" s="385" t="s">
        <v>590</v>
      </c>
      <c r="E122" s="386">
        <v>17.71</v>
      </c>
      <c r="F122" s="385" t="s">
        <v>615</v>
      </c>
      <c r="G122" s="385" t="s">
        <v>474</v>
      </c>
      <c r="H122" s="385" t="s">
        <v>625</v>
      </c>
    </row>
    <row r="123" spans="1:8" ht="26.5" customHeight="1">
      <c r="A123" s="81">
        <v>45962</v>
      </c>
      <c r="B123" s="383">
        <v>45967</v>
      </c>
      <c r="C123" s="50"/>
      <c r="D123" s="385" t="s">
        <v>452</v>
      </c>
      <c r="E123" s="386">
        <v>3.1</v>
      </c>
      <c r="F123" s="385" t="s">
        <v>615</v>
      </c>
      <c r="G123" s="385" t="s">
        <v>474</v>
      </c>
      <c r="H123" s="392" t="s">
        <v>626</v>
      </c>
    </row>
    <row r="124" spans="1:8" ht="26.5" customHeight="1">
      <c r="A124" s="81">
        <v>45962</v>
      </c>
      <c r="B124" s="383">
        <v>45978</v>
      </c>
      <c r="C124" s="385"/>
      <c r="D124" s="385"/>
      <c r="E124" s="386">
        <v>10</v>
      </c>
      <c r="F124" s="385"/>
      <c r="G124" s="385" t="s">
        <v>474</v>
      </c>
      <c r="H124" s="392" t="s">
        <v>627</v>
      </c>
    </row>
    <row r="125" spans="1:8" ht="26.5" customHeight="1">
      <c r="A125" s="81">
        <v>45962</v>
      </c>
      <c r="B125" s="383">
        <v>45980</v>
      </c>
      <c r="C125" s="387" t="s">
        <v>476</v>
      </c>
      <c r="D125" s="385" t="s">
        <v>628</v>
      </c>
      <c r="E125" s="386">
        <v>4.25</v>
      </c>
      <c r="F125" s="385" t="s">
        <v>615</v>
      </c>
      <c r="G125" s="385" t="s">
        <v>474</v>
      </c>
      <c r="H125" s="392" t="s">
        <v>629</v>
      </c>
    </row>
    <row r="126" spans="1:8" ht="26.5" customHeight="1">
      <c r="A126" s="81">
        <v>45962</v>
      </c>
      <c r="B126" s="383">
        <v>45980</v>
      </c>
      <c r="C126" s="385"/>
      <c r="D126" s="385" t="s">
        <v>532</v>
      </c>
      <c r="E126" s="386">
        <v>11.45</v>
      </c>
      <c r="F126" s="385"/>
      <c r="G126" s="385" t="s">
        <v>474</v>
      </c>
      <c r="H126" s="392" t="s">
        <v>630</v>
      </c>
    </row>
    <row r="127" spans="1:8" ht="26.5" customHeight="1">
      <c r="A127" s="81">
        <v>45962</v>
      </c>
      <c r="B127" s="383">
        <v>45981</v>
      </c>
      <c r="C127" s="385"/>
      <c r="D127" s="385" t="s">
        <v>452</v>
      </c>
      <c r="E127" s="386">
        <v>3.8</v>
      </c>
      <c r="F127" s="385"/>
      <c r="G127" s="385" t="s">
        <v>474</v>
      </c>
      <c r="H127" s="392" t="s">
        <v>631</v>
      </c>
    </row>
    <row r="128" spans="1:8" ht="26.5" customHeight="1">
      <c r="A128" s="81">
        <v>45962</v>
      </c>
      <c r="B128" s="383">
        <v>45982</v>
      </c>
      <c r="C128" s="387" t="s">
        <v>476</v>
      </c>
      <c r="D128" s="385" t="s">
        <v>590</v>
      </c>
      <c r="E128" s="386">
        <v>198.54</v>
      </c>
      <c r="F128" s="385"/>
      <c r="G128" s="385" t="s">
        <v>474</v>
      </c>
      <c r="H128" s="392" t="s">
        <v>632</v>
      </c>
    </row>
    <row r="129" spans="1:8" ht="26.5" customHeight="1">
      <c r="A129" s="81">
        <v>45962</v>
      </c>
      <c r="B129" s="383">
        <v>45985</v>
      </c>
      <c r="C129" s="387" t="s">
        <v>476</v>
      </c>
      <c r="D129" s="385" t="s">
        <v>590</v>
      </c>
      <c r="E129" s="386">
        <v>20</v>
      </c>
      <c r="F129" s="385"/>
      <c r="G129" s="385" t="s">
        <v>474</v>
      </c>
      <c r="H129" s="392" t="s">
        <v>633</v>
      </c>
    </row>
    <row r="130" spans="1:8" ht="26.5" customHeight="1">
      <c r="A130" s="81">
        <v>45962</v>
      </c>
      <c r="B130" s="383">
        <v>45985</v>
      </c>
      <c r="C130" s="387" t="s">
        <v>476</v>
      </c>
      <c r="D130" s="385" t="s">
        <v>634</v>
      </c>
      <c r="E130" s="386">
        <f>5.98*2</f>
        <v>11.96</v>
      </c>
      <c r="F130" s="385"/>
      <c r="G130" s="385" t="s">
        <v>474</v>
      </c>
      <c r="H130" s="392" t="s">
        <v>635</v>
      </c>
    </row>
    <row r="131" spans="1:8" ht="26.5" customHeight="1">
      <c r="A131" s="81">
        <v>45962</v>
      </c>
      <c r="B131" s="383">
        <v>45985</v>
      </c>
      <c r="C131" s="387" t="s">
        <v>476</v>
      </c>
      <c r="D131" s="385" t="s">
        <v>634</v>
      </c>
      <c r="E131" s="386">
        <v>8.5</v>
      </c>
      <c r="F131" s="385"/>
      <c r="G131" s="385" t="s">
        <v>474</v>
      </c>
      <c r="H131" s="392" t="s">
        <v>636</v>
      </c>
    </row>
    <row r="132" spans="1:8" ht="26.5" customHeight="1">
      <c r="A132" s="81">
        <v>45962</v>
      </c>
      <c r="B132" s="383">
        <v>45985</v>
      </c>
      <c r="C132" s="385"/>
      <c r="D132" s="385" t="s">
        <v>590</v>
      </c>
      <c r="E132" s="386">
        <v>123</v>
      </c>
      <c r="F132" s="385"/>
      <c r="G132" s="385" t="s">
        <v>474</v>
      </c>
      <c r="H132" s="392" t="s">
        <v>637</v>
      </c>
    </row>
    <row r="133" spans="1:8" ht="26.5" customHeight="1">
      <c r="A133" s="81">
        <v>45962</v>
      </c>
      <c r="B133" s="383">
        <v>45985</v>
      </c>
      <c r="C133" s="385"/>
      <c r="D133" s="385" t="s">
        <v>638</v>
      </c>
      <c r="E133" s="386">
        <v>250</v>
      </c>
      <c r="F133" s="385"/>
      <c r="G133" s="385" t="s">
        <v>474</v>
      </c>
      <c r="H133" s="392" t="s">
        <v>495</v>
      </c>
    </row>
    <row r="134" spans="1:8" ht="26.5" customHeight="1">
      <c r="A134" s="81">
        <v>45962</v>
      </c>
      <c r="B134" s="383"/>
      <c r="C134" s="385"/>
      <c r="D134" s="385" t="s">
        <v>452</v>
      </c>
      <c r="E134" s="386">
        <f>3.7*2</f>
        <v>7.4</v>
      </c>
      <c r="F134" s="385"/>
      <c r="G134" s="385" t="s">
        <v>474</v>
      </c>
      <c r="H134" s="392" t="s">
        <v>639</v>
      </c>
    </row>
    <row r="135" spans="1:8" ht="26.5" customHeight="1">
      <c r="A135" s="81">
        <v>45962</v>
      </c>
      <c r="B135" s="383"/>
      <c r="C135" s="385"/>
      <c r="D135" s="385" t="s">
        <v>640</v>
      </c>
      <c r="E135" s="386">
        <v>30</v>
      </c>
      <c r="F135" s="385"/>
      <c r="G135" s="385" t="s">
        <v>474</v>
      </c>
      <c r="H135" s="392" t="s">
        <v>641</v>
      </c>
    </row>
    <row r="136" spans="1:8" ht="26.5" customHeight="1">
      <c r="A136" s="81">
        <v>45962</v>
      </c>
      <c r="B136" s="383"/>
      <c r="C136" s="387" t="s">
        <v>476</v>
      </c>
      <c r="D136" s="385" t="s">
        <v>590</v>
      </c>
      <c r="E136" s="386">
        <v>2600</v>
      </c>
      <c r="F136" s="385"/>
      <c r="G136" s="385" t="s">
        <v>474</v>
      </c>
      <c r="H136" s="392" t="s">
        <v>642</v>
      </c>
    </row>
    <row r="137" spans="1:8" ht="26.5" customHeight="1">
      <c r="A137" s="81">
        <v>45962</v>
      </c>
      <c r="B137" s="127"/>
      <c r="C137" s="50"/>
      <c r="D137" s="385" t="s">
        <v>459</v>
      </c>
      <c r="E137" s="386">
        <v>109.98</v>
      </c>
      <c r="F137" s="385"/>
      <c r="G137" s="385" t="s">
        <v>474</v>
      </c>
      <c r="H137" s="392" t="s">
        <v>643</v>
      </c>
    </row>
    <row r="138" spans="1:8" ht="26.5" customHeight="1">
      <c r="A138" s="81">
        <v>45962</v>
      </c>
      <c r="B138" s="127"/>
      <c r="C138" s="50"/>
      <c r="D138" s="385"/>
      <c r="E138" s="386"/>
      <c r="F138" s="385"/>
      <c r="G138" s="385"/>
      <c r="H138" s="83"/>
    </row>
    <row r="139" spans="1:8" ht="26.5" customHeight="1">
      <c r="A139" s="81">
        <v>45962</v>
      </c>
      <c r="B139" s="127"/>
      <c r="C139" s="50"/>
      <c r="D139" s="50"/>
      <c r="E139" s="82"/>
      <c r="F139" s="50"/>
      <c r="G139" s="50"/>
      <c r="H139" s="83"/>
    </row>
    <row r="140" spans="1:8" ht="26.5" customHeight="1">
      <c r="A140" s="81">
        <v>45962</v>
      </c>
      <c r="B140" s="383"/>
      <c r="C140" s="385"/>
      <c r="D140" s="84" t="s">
        <v>487</v>
      </c>
      <c r="E140" s="85">
        <f>SUM(E109:E116,E118:E137)</f>
        <v>4356.5</v>
      </c>
      <c r="F140" s="385"/>
      <c r="G140" s="385"/>
      <c r="H140" s="392"/>
    </row>
    <row r="141" spans="1:8" ht="26.5" customHeight="1">
      <c r="A141" s="126">
        <v>45962</v>
      </c>
      <c r="B141" s="388"/>
      <c r="C141" s="389"/>
      <c r="D141" s="389"/>
      <c r="E141" s="390"/>
      <c r="F141" s="389"/>
      <c r="G141" s="389"/>
      <c r="H141" s="391"/>
    </row>
    <row r="142" spans="1:8" ht="26.5" customHeight="1">
      <c r="A142" s="81">
        <v>45992</v>
      </c>
      <c r="B142" s="383">
        <v>45995</v>
      </c>
      <c r="C142" s="387" t="s">
        <v>476</v>
      </c>
      <c r="D142" s="385" t="s">
        <v>573</v>
      </c>
      <c r="E142" s="386">
        <v>20</v>
      </c>
      <c r="F142" s="385" t="s">
        <v>615</v>
      </c>
      <c r="G142" s="385" t="s">
        <v>474</v>
      </c>
      <c r="H142" s="385" t="s">
        <v>574</v>
      </c>
    </row>
    <row r="143" spans="1:8" ht="26.5" customHeight="1">
      <c r="A143" s="81">
        <v>45992</v>
      </c>
      <c r="B143" s="383">
        <v>45995</v>
      </c>
      <c r="C143" s="387" t="s">
        <v>476</v>
      </c>
      <c r="D143" s="385" t="s">
        <v>573</v>
      </c>
      <c r="E143" s="386">
        <v>70.8</v>
      </c>
      <c r="F143" s="385" t="s">
        <v>615</v>
      </c>
      <c r="G143" s="385" t="s">
        <v>474</v>
      </c>
      <c r="H143" s="385" t="s">
        <v>617</v>
      </c>
    </row>
    <row r="144" spans="1:8" ht="26.5" customHeight="1">
      <c r="A144" s="81">
        <v>45992</v>
      </c>
      <c r="B144" s="383">
        <v>45995</v>
      </c>
      <c r="C144" s="385"/>
      <c r="D144" s="385"/>
      <c r="E144" s="386">
        <v>250</v>
      </c>
      <c r="F144" s="385" t="s">
        <v>615</v>
      </c>
      <c r="G144" s="385" t="s">
        <v>474</v>
      </c>
      <c r="H144" s="392" t="s">
        <v>495</v>
      </c>
    </row>
    <row r="145" spans="1:8" ht="26.5" customHeight="1">
      <c r="A145" s="81">
        <v>45992</v>
      </c>
      <c r="B145" s="383">
        <v>45996</v>
      </c>
      <c r="C145" s="387" t="s">
        <v>476</v>
      </c>
      <c r="D145" s="385"/>
      <c r="E145" s="386">
        <v>8.5</v>
      </c>
      <c r="F145" s="385" t="s">
        <v>615</v>
      </c>
      <c r="G145" s="385" t="s">
        <v>474</v>
      </c>
      <c r="H145" s="392" t="s">
        <v>551</v>
      </c>
    </row>
    <row r="146" spans="1:8" ht="26.5" customHeight="1">
      <c r="A146" s="81">
        <v>45992</v>
      </c>
      <c r="B146" s="383">
        <v>45996</v>
      </c>
      <c r="C146" s="385"/>
      <c r="D146" s="385"/>
      <c r="E146" s="386">
        <v>50</v>
      </c>
      <c r="F146" s="385" t="s">
        <v>615</v>
      </c>
      <c r="G146" s="385" t="s">
        <v>474</v>
      </c>
      <c r="H146" s="392" t="s">
        <v>644</v>
      </c>
    </row>
    <row r="147" spans="1:8" ht="26.5" customHeight="1">
      <c r="A147" s="81">
        <v>45992</v>
      </c>
      <c r="B147" s="383">
        <v>45997</v>
      </c>
      <c r="C147" s="385"/>
      <c r="D147" s="385"/>
      <c r="E147" s="386">
        <v>31.26</v>
      </c>
      <c r="F147" s="385" t="s">
        <v>615</v>
      </c>
      <c r="G147" s="385" t="s">
        <v>474</v>
      </c>
      <c r="H147" s="392" t="s">
        <v>645</v>
      </c>
    </row>
    <row r="148" spans="1:8" ht="26.5" customHeight="1">
      <c r="A148" s="81">
        <v>45992</v>
      </c>
      <c r="B148" s="383">
        <v>45993</v>
      </c>
      <c r="C148" s="50"/>
      <c r="D148" s="50"/>
      <c r="E148" s="386">
        <v>20</v>
      </c>
      <c r="F148" s="385" t="s">
        <v>615</v>
      </c>
      <c r="G148" s="385" t="s">
        <v>474</v>
      </c>
      <c r="H148" s="392" t="s">
        <v>646</v>
      </c>
    </row>
    <row r="149" spans="1:8" ht="26.5" customHeight="1">
      <c r="A149" s="81">
        <v>45992</v>
      </c>
      <c r="B149" s="383"/>
      <c r="C149" s="385"/>
      <c r="D149" s="385"/>
      <c r="E149" s="386">
        <v>38.33</v>
      </c>
      <c r="F149" s="385" t="s">
        <v>615</v>
      </c>
      <c r="G149" s="385" t="s">
        <v>474</v>
      </c>
      <c r="H149" s="392" t="s">
        <v>647</v>
      </c>
    </row>
    <row r="150" spans="1:8" ht="26.5" customHeight="1">
      <c r="A150" s="81">
        <v>45992</v>
      </c>
      <c r="B150" s="383">
        <v>45997</v>
      </c>
      <c r="C150" s="385"/>
      <c r="D150" s="385" t="s">
        <v>590</v>
      </c>
      <c r="E150" s="386">
        <v>8.4</v>
      </c>
      <c r="F150" s="385" t="s">
        <v>615</v>
      </c>
      <c r="G150" s="385" t="s">
        <v>474</v>
      </c>
      <c r="H150" s="392" t="s">
        <v>648</v>
      </c>
    </row>
    <row r="151" spans="1:8" ht="26.5" customHeight="1">
      <c r="A151" s="81">
        <v>45992</v>
      </c>
      <c r="B151" s="383">
        <v>45998</v>
      </c>
      <c r="C151" s="385"/>
      <c r="D151" s="385"/>
      <c r="E151" s="386">
        <v>42</v>
      </c>
      <c r="F151" s="385" t="s">
        <v>615</v>
      </c>
      <c r="G151" s="385" t="s">
        <v>474</v>
      </c>
      <c r="H151" s="392" t="s">
        <v>649</v>
      </c>
    </row>
    <row r="152" spans="1:8" ht="26.5" customHeight="1">
      <c r="A152" s="81">
        <v>45992</v>
      </c>
      <c r="B152" s="383">
        <v>45998</v>
      </c>
      <c r="C152" s="385"/>
      <c r="D152" s="385"/>
      <c r="E152" s="386">
        <v>22.14</v>
      </c>
      <c r="F152" s="385" t="s">
        <v>615</v>
      </c>
      <c r="G152" s="385" t="s">
        <v>474</v>
      </c>
      <c r="H152" s="392" t="s">
        <v>650</v>
      </c>
    </row>
    <row r="153" spans="1:8" ht="26.5" customHeight="1">
      <c r="A153" s="81">
        <v>45992</v>
      </c>
      <c r="B153" s="383">
        <v>45998</v>
      </c>
      <c r="C153" s="385"/>
      <c r="D153" s="385"/>
      <c r="E153" s="386">
        <v>6.26</v>
      </c>
      <c r="F153" s="385" t="s">
        <v>615</v>
      </c>
      <c r="G153" s="385" t="s">
        <v>474</v>
      </c>
      <c r="H153" s="392" t="s">
        <v>650</v>
      </c>
    </row>
    <row r="154" spans="1:8" ht="26.5" customHeight="1">
      <c r="A154" s="81">
        <v>45992</v>
      </c>
      <c r="B154" s="383">
        <v>45998</v>
      </c>
      <c r="C154" s="385"/>
      <c r="D154" s="385"/>
      <c r="E154" s="386">
        <v>348</v>
      </c>
      <c r="F154" s="385" t="s">
        <v>615</v>
      </c>
      <c r="G154" s="385" t="s">
        <v>474</v>
      </c>
      <c r="H154" s="392" t="s">
        <v>651</v>
      </c>
    </row>
    <row r="155" spans="1:8" ht="26.5" customHeight="1">
      <c r="A155" s="81">
        <v>45992</v>
      </c>
      <c r="B155" s="383">
        <v>45998</v>
      </c>
      <c r="C155" s="385"/>
      <c r="D155" s="385"/>
      <c r="E155" s="386">
        <v>260</v>
      </c>
      <c r="F155" s="385" t="s">
        <v>615</v>
      </c>
      <c r="G155" s="385" t="s">
        <v>474</v>
      </c>
      <c r="H155" s="392" t="s">
        <v>620</v>
      </c>
    </row>
    <row r="156" spans="1:8" ht="26.5" customHeight="1">
      <c r="A156" s="81">
        <v>45992</v>
      </c>
      <c r="B156" s="383">
        <v>45998</v>
      </c>
      <c r="C156" s="385"/>
      <c r="D156" s="385"/>
      <c r="E156" s="386">
        <v>14</v>
      </c>
      <c r="F156" s="385" t="s">
        <v>615</v>
      </c>
      <c r="G156" s="385" t="s">
        <v>474</v>
      </c>
      <c r="H156" s="392" t="s">
        <v>652</v>
      </c>
    </row>
    <row r="157" spans="1:8" ht="26.5" customHeight="1">
      <c r="A157" s="81">
        <v>45992</v>
      </c>
      <c r="B157" s="383">
        <v>45998</v>
      </c>
      <c r="C157" s="385"/>
      <c r="D157" s="385"/>
      <c r="E157" s="386">
        <v>600</v>
      </c>
      <c r="F157" s="385" t="s">
        <v>588</v>
      </c>
      <c r="G157" s="385" t="s">
        <v>474</v>
      </c>
      <c r="H157" s="392" t="s">
        <v>653</v>
      </c>
    </row>
    <row r="158" spans="1:8" ht="26.5" customHeight="1">
      <c r="A158" s="81">
        <v>45992</v>
      </c>
      <c r="B158" s="383"/>
      <c r="C158" s="385"/>
      <c r="D158" s="385"/>
      <c r="E158" s="386">
        <v>6.51</v>
      </c>
      <c r="F158" s="385" t="s">
        <v>615</v>
      </c>
      <c r="G158" s="385" t="s">
        <v>474</v>
      </c>
      <c r="H158" s="392" t="s">
        <v>654</v>
      </c>
    </row>
    <row r="159" spans="1:8" ht="26.5" customHeight="1">
      <c r="A159" s="81">
        <v>45992</v>
      </c>
      <c r="B159" s="383"/>
      <c r="C159" s="385"/>
      <c r="D159" s="385"/>
      <c r="E159" s="386">
        <v>18.559999999999999</v>
      </c>
      <c r="F159" s="385" t="s">
        <v>615</v>
      </c>
      <c r="G159" s="385" t="s">
        <v>474</v>
      </c>
      <c r="H159" s="392"/>
    </row>
    <row r="160" spans="1:8" ht="26.5" customHeight="1">
      <c r="A160" s="81">
        <v>45992</v>
      </c>
      <c r="B160" s="383">
        <v>46001</v>
      </c>
      <c r="C160" s="385"/>
      <c r="D160" s="385"/>
      <c r="E160" s="386">
        <v>8</v>
      </c>
      <c r="F160" s="385" t="s">
        <v>615</v>
      </c>
      <c r="G160" s="385" t="s">
        <v>474</v>
      </c>
      <c r="H160" s="392" t="s">
        <v>655</v>
      </c>
    </row>
    <row r="161" spans="1:8" ht="26.5" customHeight="1">
      <c r="A161" s="81">
        <v>45992</v>
      </c>
      <c r="B161" s="383">
        <v>46001</v>
      </c>
      <c r="C161" s="385"/>
      <c r="D161" s="385"/>
      <c r="E161" s="386">
        <v>60</v>
      </c>
      <c r="F161" s="385" t="s">
        <v>615</v>
      </c>
      <c r="G161" s="385" t="s">
        <v>474</v>
      </c>
      <c r="H161" s="392" t="s">
        <v>656</v>
      </c>
    </row>
    <row r="162" spans="1:8" ht="26.5" customHeight="1">
      <c r="A162" s="81">
        <v>45992</v>
      </c>
      <c r="B162" s="383">
        <v>46001</v>
      </c>
      <c r="C162" s="387" t="s">
        <v>476</v>
      </c>
      <c r="D162" s="385"/>
      <c r="E162" s="399">
        <v>2500</v>
      </c>
      <c r="F162" s="385" t="s">
        <v>588</v>
      </c>
      <c r="G162" s="385" t="s">
        <v>474</v>
      </c>
      <c r="H162" s="392" t="s">
        <v>585</v>
      </c>
    </row>
    <row r="163" spans="1:8" ht="26.5" customHeight="1">
      <c r="A163" s="81">
        <v>45992</v>
      </c>
      <c r="B163" s="383">
        <v>46001</v>
      </c>
      <c r="C163" s="387"/>
      <c r="D163" s="50"/>
      <c r="E163" s="386">
        <v>600</v>
      </c>
      <c r="F163" s="385" t="s">
        <v>588</v>
      </c>
      <c r="G163" s="385" t="s">
        <v>474</v>
      </c>
      <c r="H163" s="392" t="s">
        <v>657</v>
      </c>
    </row>
    <row r="164" spans="1:8" ht="26.5" customHeight="1">
      <c r="A164" s="81">
        <v>45992</v>
      </c>
      <c r="B164" s="383"/>
      <c r="C164" s="387"/>
      <c r="D164" s="385"/>
      <c r="E164" s="386">
        <v>5.59</v>
      </c>
      <c r="F164" s="385" t="s">
        <v>615</v>
      </c>
      <c r="G164" s="385" t="s">
        <v>474</v>
      </c>
      <c r="H164" s="392" t="s">
        <v>658</v>
      </c>
    </row>
    <row r="165" spans="1:8" ht="26.5" customHeight="1">
      <c r="A165" s="81">
        <v>45992</v>
      </c>
      <c r="B165" s="383"/>
      <c r="C165" s="387"/>
      <c r="D165" s="385"/>
      <c r="E165" s="386">
        <v>8.99</v>
      </c>
      <c r="F165" s="385" t="s">
        <v>615</v>
      </c>
      <c r="G165" s="385" t="s">
        <v>474</v>
      </c>
      <c r="H165" s="392" t="s">
        <v>659</v>
      </c>
    </row>
    <row r="166" spans="1:8" ht="26.5" customHeight="1">
      <c r="A166" s="81">
        <v>45992</v>
      </c>
      <c r="B166" s="383"/>
      <c r="C166" s="387" t="s">
        <v>476</v>
      </c>
      <c r="D166" s="385"/>
      <c r="E166" s="386">
        <v>212.48</v>
      </c>
      <c r="F166" s="385" t="s">
        <v>615</v>
      </c>
      <c r="G166" s="385" t="s">
        <v>474</v>
      </c>
      <c r="H166" s="392" t="s">
        <v>660</v>
      </c>
    </row>
    <row r="167" spans="1:8" ht="26.5" customHeight="1">
      <c r="A167" s="81">
        <v>45992</v>
      </c>
      <c r="B167" s="383"/>
      <c r="C167" s="387" t="s">
        <v>476</v>
      </c>
      <c r="D167" s="385"/>
      <c r="E167" s="386">
        <v>353.87</v>
      </c>
      <c r="F167" s="385" t="s">
        <v>615</v>
      </c>
      <c r="G167" s="385" t="s">
        <v>474</v>
      </c>
      <c r="H167" s="392" t="s">
        <v>661</v>
      </c>
    </row>
    <row r="168" spans="1:8" ht="26.5" customHeight="1">
      <c r="A168" s="81">
        <v>45992</v>
      </c>
      <c r="B168" s="383"/>
      <c r="C168" s="385"/>
      <c r="D168" s="385"/>
      <c r="E168" s="399">
        <v>16.190000000000001</v>
      </c>
      <c r="F168" s="385" t="s">
        <v>615</v>
      </c>
      <c r="G168" s="385" t="s">
        <v>474</v>
      </c>
      <c r="H168" s="392" t="s">
        <v>662</v>
      </c>
    </row>
    <row r="169" spans="1:8" ht="26.5" customHeight="1">
      <c r="A169" s="81">
        <v>45992</v>
      </c>
      <c r="B169" s="127"/>
      <c r="C169" s="50"/>
      <c r="D169" s="50"/>
      <c r="E169" s="386">
        <v>2.4900000000000002</v>
      </c>
      <c r="F169" s="385" t="s">
        <v>615</v>
      </c>
      <c r="G169" s="385" t="s">
        <v>474</v>
      </c>
      <c r="H169" s="392" t="s">
        <v>663</v>
      </c>
    </row>
    <row r="170" spans="1:8" ht="26.5" customHeight="1">
      <c r="A170" s="81">
        <v>45992</v>
      </c>
      <c r="B170" s="394"/>
      <c r="C170" s="385"/>
      <c r="D170" s="385"/>
      <c r="E170" s="386">
        <v>29.6</v>
      </c>
      <c r="F170" s="385" t="s">
        <v>615</v>
      </c>
      <c r="G170" s="385" t="s">
        <v>474</v>
      </c>
      <c r="H170" s="392" t="s">
        <v>664</v>
      </c>
    </row>
    <row r="171" spans="1:8" ht="26.5" customHeight="1">
      <c r="A171" s="81">
        <v>45992</v>
      </c>
      <c r="B171" s="383"/>
      <c r="C171" s="385"/>
      <c r="D171" s="385"/>
      <c r="E171" s="386">
        <v>40</v>
      </c>
      <c r="F171" s="385" t="s">
        <v>588</v>
      </c>
      <c r="G171" s="385" t="s">
        <v>474</v>
      </c>
      <c r="H171" s="392" t="s">
        <v>665</v>
      </c>
    </row>
    <row r="172" spans="1:8" ht="26.5" customHeight="1">
      <c r="A172" s="81">
        <v>45992</v>
      </c>
      <c r="B172" s="394"/>
      <c r="C172" s="385"/>
      <c r="D172" s="385"/>
      <c r="E172" s="400">
        <v>20</v>
      </c>
      <c r="F172" s="385" t="s">
        <v>615</v>
      </c>
      <c r="G172" s="385" t="s">
        <v>474</v>
      </c>
      <c r="H172" s="392" t="s">
        <v>633</v>
      </c>
    </row>
    <row r="173" spans="1:8" ht="26.5" customHeight="1">
      <c r="A173" s="81">
        <v>45992</v>
      </c>
      <c r="B173" s="383"/>
      <c r="C173" s="385"/>
      <c r="D173" s="385"/>
      <c r="E173" s="401">
        <v>1639.36</v>
      </c>
      <c r="F173" s="385" t="s">
        <v>615</v>
      </c>
      <c r="G173" s="385" t="s">
        <v>474</v>
      </c>
      <c r="H173" s="392" t="s">
        <v>666</v>
      </c>
    </row>
    <row r="174" spans="1:8" ht="26.5" customHeight="1">
      <c r="A174" s="81">
        <v>45992</v>
      </c>
      <c r="B174" s="383"/>
      <c r="C174" s="385"/>
      <c r="D174" s="385"/>
      <c r="E174" s="401">
        <v>19.25</v>
      </c>
      <c r="F174" s="385" t="s">
        <v>615</v>
      </c>
      <c r="G174" s="385" t="s">
        <v>474</v>
      </c>
      <c r="H174" s="392" t="s">
        <v>667</v>
      </c>
    </row>
    <row r="175" spans="1:8" ht="26.5" customHeight="1">
      <c r="A175" s="81">
        <v>45992</v>
      </c>
      <c r="B175" s="383"/>
      <c r="C175" s="385"/>
      <c r="D175" s="385"/>
      <c r="E175" s="401">
        <v>6</v>
      </c>
      <c r="F175" s="385" t="s">
        <v>615</v>
      </c>
      <c r="G175" s="385" t="s">
        <v>474</v>
      </c>
      <c r="H175" s="392" t="s">
        <v>668</v>
      </c>
    </row>
    <row r="176" spans="1:8" ht="26.5" customHeight="1">
      <c r="A176" s="81">
        <v>45992</v>
      </c>
      <c r="B176" s="127"/>
      <c r="C176" s="50"/>
      <c r="D176" s="385"/>
      <c r="E176" s="401">
        <v>20</v>
      </c>
      <c r="F176" s="385" t="s">
        <v>615</v>
      </c>
      <c r="G176" s="385" t="s">
        <v>474</v>
      </c>
      <c r="H176" s="392" t="s">
        <v>633</v>
      </c>
    </row>
    <row r="177" spans="1:8" ht="26.5" customHeight="1">
      <c r="A177" s="81">
        <v>45992</v>
      </c>
      <c r="B177" s="383"/>
      <c r="C177" s="385"/>
      <c r="D177" s="385"/>
      <c r="E177" s="401">
        <v>0.3</v>
      </c>
      <c r="F177" s="385" t="s">
        <v>615</v>
      </c>
      <c r="G177" s="385" t="s">
        <v>474</v>
      </c>
      <c r="H177" s="392" t="s">
        <v>669</v>
      </c>
    </row>
    <row r="178" spans="1:8" ht="26.5" customHeight="1">
      <c r="A178" s="81">
        <v>45992</v>
      </c>
      <c r="B178" s="127"/>
      <c r="C178" s="50"/>
      <c r="D178" s="385"/>
      <c r="E178" s="401">
        <v>250</v>
      </c>
      <c r="F178" s="385" t="s">
        <v>615</v>
      </c>
      <c r="G178" s="385" t="s">
        <v>474</v>
      </c>
      <c r="H178" s="392" t="s">
        <v>670</v>
      </c>
    </row>
    <row r="179" spans="1:8" ht="26.5" customHeight="1">
      <c r="A179" s="81">
        <v>45992</v>
      </c>
      <c r="B179" s="127"/>
      <c r="C179" s="50"/>
      <c r="D179" s="385"/>
      <c r="E179" s="401">
        <v>123</v>
      </c>
      <c r="F179" s="385" t="s">
        <v>615</v>
      </c>
      <c r="G179" s="385" t="s">
        <v>474</v>
      </c>
      <c r="H179" s="392" t="s">
        <v>671</v>
      </c>
    </row>
    <row r="180" spans="1:8" ht="26.5" customHeight="1">
      <c r="A180" s="81">
        <v>45992</v>
      </c>
      <c r="B180" s="127"/>
      <c r="C180" s="50"/>
      <c r="D180" s="385"/>
      <c r="E180" s="401">
        <v>9.25</v>
      </c>
      <c r="F180" s="385" t="s">
        <v>615</v>
      </c>
      <c r="G180" s="385" t="s">
        <v>474</v>
      </c>
      <c r="H180" s="392" t="s">
        <v>672</v>
      </c>
    </row>
    <row r="181" spans="1:8" ht="26.5" customHeight="1">
      <c r="A181" s="81">
        <v>45992</v>
      </c>
      <c r="B181" s="127"/>
      <c r="C181" s="50"/>
      <c r="D181" s="385"/>
      <c r="E181" s="401">
        <v>105.81</v>
      </c>
      <c r="F181" s="385" t="s">
        <v>615</v>
      </c>
      <c r="G181" s="385" t="s">
        <v>474</v>
      </c>
      <c r="H181" s="392" t="s">
        <v>673</v>
      </c>
    </row>
    <row r="182" spans="1:8" ht="26.5" customHeight="1">
      <c r="A182" s="81">
        <v>45992</v>
      </c>
      <c r="B182" s="383"/>
      <c r="C182" s="385"/>
      <c r="D182" s="385"/>
      <c r="E182" s="401">
        <v>36.81</v>
      </c>
      <c r="F182" s="385" t="s">
        <v>615</v>
      </c>
      <c r="G182" s="385" t="s">
        <v>474</v>
      </c>
      <c r="H182" s="392" t="s">
        <v>532</v>
      </c>
    </row>
    <row r="183" spans="1:8" ht="25" customHeight="1">
      <c r="A183" s="81">
        <v>45992</v>
      </c>
      <c r="B183" s="383"/>
      <c r="C183" s="385"/>
      <c r="D183" s="385"/>
      <c r="E183" s="401"/>
      <c r="F183" s="385"/>
      <c r="G183" s="385"/>
      <c r="H183" s="392"/>
    </row>
    <row r="184" spans="1:8" ht="26.5" customHeight="1">
      <c r="A184" s="81">
        <v>45992</v>
      </c>
      <c r="B184" s="383"/>
      <c r="C184" s="385"/>
      <c r="D184" s="84" t="s">
        <v>487</v>
      </c>
      <c r="E184" s="85">
        <f>SUM(E142:E182)</f>
        <v>7881.75</v>
      </c>
      <c r="F184" s="385"/>
      <c r="G184" s="385"/>
      <c r="H184" s="392"/>
    </row>
    <row r="185" spans="1:8" ht="25" customHeight="1">
      <c r="A185" s="126">
        <v>45992</v>
      </c>
      <c r="B185" s="388"/>
      <c r="C185" s="389"/>
      <c r="D185" s="389"/>
      <c r="E185" s="390"/>
      <c r="F185" s="389"/>
      <c r="G185" s="389"/>
      <c r="H185" s="391"/>
    </row>
    <row r="186" spans="1:8" ht="25" customHeight="1">
      <c r="A186" s="81">
        <v>46023</v>
      </c>
      <c r="B186" s="383">
        <v>46024</v>
      </c>
      <c r="C186" s="385"/>
      <c r="D186" s="385" t="s">
        <v>590</v>
      </c>
      <c r="E186" s="386">
        <v>4.1500000000000004</v>
      </c>
      <c r="F186" s="385"/>
      <c r="G186" s="385"/>
      <c r="H186" s="392" t="s">
        <v>674</v>
      </c>
    </row>
    <row r="187" spans="1:8" ht="25" customHeight="1">
      <c r="A187" s="81">
        <v>46023</v>
      </c>
      <c r="B187" s="383">
        <v>46025</v>
      </c>
      <c r="C187" s="385"/>
      <c r="D187" s="385"/>
      <c r="E187" s="386">
        <v>34.15</v>
      </c>
      <c r="F187" s="385"/>
      <c r="G187" s="385"/>
      <c r="H187" s="392" t="s">
        <v>675</v>
      </c>
    </row>
    <row r="188" spans="1:8" ht="25" customHeight="1">
      <c r="A188" s="81">
        <v>46023</v>
      </c>
      <c r="B188" s="383">
        <v>46025</v>
      </c>
      <c r="C188" s="385"/>
      <c r="D188" s="385" t="s">
        <v>590</v>
      </c>
      <c r="E188" s="386">
        <v>20</v>
      </c>
      <c r="F188" s="385"/>
      <c r="G188" s="385"/>
      <c r="H188" s="392" t="s">
        <v>574</v>
      </c>
    </row>
    <row r="189" spans="1:8" ht="25" customHeight="1">
      <c r="A189" s="81">
        <v>46023</v>
      </c>
      <c r="B189" s="383">
        <v>46027</v>
      </c>
      <c r="C189" s="385"/>
      <c r="D189" s="385" t="s">
        <v>590</v>
      </c>
      <c r="E189" s="386">
        <v>260</v>
      </c>
      <c r="F189" s="385"/>
      <c r="G189" s="385"/>
      <c r="H189" s="392" t="s">
        <v>620</v>
      </c>
    </row>
    <row r="190" spans="1:8" ht="25" customHeight="1">
      <c r="A190" s="81">
        <v>46023</v>
      </c>
      <c r="B190" s="383"/>
      <c r="C190" s="385"/>
      <c r="D190" s="385"/>
      <c r="E190" s="386">
        <v>4.45</v>
      </c>
      <c r="F190" s="385"/>
      <c r="G190" s="385"/>
      <c r="H190" s="392" t="s">
        <v>676</v>
      </c>
    </row>
    <row r="191" spans="1:8" ht="25" customHeight="1">
      <c r="A191" s="81">
        <v>46023</v>
      </c>
      <c r="B191" s="383"/>
      <c r="C191" s="385"/>
      <c r="D191" s="385" t="s">
        <v>590</v>
      </c>
      <c r="E191" s="386">
        <v>70.8</v>
      </c>
      <c r="F191" s="385"/>
      <c r="G191" s="385"/>
      <c r="H191" s="392" t="s">
        <v>544</v>
      </c>
    </row>
    <row r="192" spans="1:8" ht="25" customHeight="1">
      <c r="A192" s="81">
        <v>46023</v>
      </c>
      <c r="B192" s="383"/>
      <c r="C192" s="385"/>
      <c r="D192" s="385"/>
      <c r="E192" s="386">
        <v>150</v>
      </c>
      <c r="F192" s="385"/>
      <c r="G192" s="385"/>
      <c r="H192" s="392" t="s">
        <v>677</v>
      </c>
    </row>
    <row r="193" spans="1:8" ht="25" customHeight="1">
      <c r="A193" s="81">
        <v>46023</v>
      </c>
      <c r="B193" s="383"/>
      <c r="C193" s="385"/>
      <c r="D193" s="385" t="s">
        <v>590</v>
      </c>
      <c r="E193" s="386">
        <v>2500</v>
      </c>
      <c r="F193" s="385"/>
      <c r="G193" s="385"/>
      <c r="H193" s="392" t="s">
        <v>585</v>
      </c>
    </row>
    <row r="194" spans="1:8" ht="25" customHeight="1">
      <c r="A194" s="81">
        <v>46023</v>
      </c>
      <c r="B194" s="383"/>
      <c r="C194" s="385"/>
      <c r="D194" s="385"/>
      <c r="E194" s="386">
        <v>32.99</v>
      </c>
      <c r="F194" s="385"/>
      <c r="G194" s="385"/>
      <c r="H194" s="392" t="s">
        <v>678</v>
      </c>
    </row>
    <row r="195" spans="1:8" ht="25" customHeight="1">
      <c r="A195" s="81">
        <v>46023</v>
      </c>
      <c r="B195" s="383"/>
      <c r="C195" s="385"/>
      <c r="D195" s="385"/>
      <c r="E195" s="386">
        <v>80</v>
      </c>
      <c r="F195" s="385"/>
      <c r="G195" s="385"/>
      <c r="H195" s="392" t="s">
        <v>679</v>
      </c>
    </row>
    <row r="196" spans="1:8" ht="25" customHeight="1">
      <c r="A196" s="81">
        <v>46023</v>
      </c>
      <c r="B196" s="383"/>
      <c r="C196" s="385"/>
      <c r="D196" s="385"/>
      <c r="E196" s="386">
        <v>1.5</v>
      </c>
      <c r="F196" s="385"/>
      <c r="G196" s="385"/>
      <c r="H196" s="392" t="s">
        <v>680</v>
      </c>
    </row>
    <row r="197" spans="1:8" ht="25" customHeight="1">
      <c r="A197" s="81">
        <v>46023</v>
      </c>
      <c r="B197" s="383"/>
      <c r="C197" s="385"/>
      <c r="D197" s="385"/>
      <c r="E197" s="386">
        <v>85.04</v>
      </c>
      <c r="F197" s="385"/>
      <c r="G197" s="385"/>
      <c r="H197" s="392" t="s">
        <v>681</v>
      </c>
    </row>
    <row r="198" spans="1:8" ht="25" customHeight="1">
      <c r="A198" s="81">
        <v>46023</v>
      </c>
      <c r="B198" s="383"/>
      <c r="C198" s="385"/>
      <c r="D198" s="385"/>
      <c r="E198" s="402">
        <v>5.56</v>
      </c>
      <c r="F198" s="392"/>
      <c r="G198" s="392"/>
      <c r="H198" s="392" t="s">
        <v>682</v>
      </c>
    </row>
    <row r="199" spans="1:8" ht="25" customHeight="1">
      <c r="A199" s="81">
        <v>46023</v>
      </c>
      <c r="B199" s="383"/>
      <c r="C199" s="385"/>
      <c r="D199" s="385" t="s">
        <v>590</v>
      </c>
      <c r="E199" s="402">
        <f>70.69+10</f>
        <v>80.69</v>
      </c>
      <c r="F199" s="392"/>
      <c r="G199" s="392"/>
      <c r="H199" s="392" t="s">
        <v>683</v>
      </c>
    </row>
    <row r="200" spans="1:8" ht="25" customHeight="1">
      <c r="A200" s="81">
        <v>46023</v>
      </c>
      <c r="B200" s="383"/>
      <c r="C200" s="385"/>
      <c r="D200" s="385" t="s">
        <v>590</v>
      </c>
      <c r="E200" s="402">
        <v>1148.6400000000001</v>
      </c>
      <c r="F200" s="392"/>
      <c r="G200" s="392"/>
      <c r="H200" s="392" t="s">
        <v>661</v>
      </c>
    </row>
    <row r="201" spans="1:8" ht="25" customHeight="1">
      <c r="A201" s="81">
        <v>46023</v>
      </c>
      <c r="B201" s="392"/>
      <c r="C201" s="392"/>
      <c r="D201" s="392"/>
      <c r="E201" s="402">
        <v>36.1</v>
      </c>
      <c r="F201" s="392"/>
      <c r="G201" s="392"/>
      <c r="H201" s="392" t="s">
        <v>684</v>
      </c>
    </row>
    <row r="202" spans="1:8" ht="25" customHeight="1">
      <c r="A202" s="81">
        <v>46023</v>
      </c>
      <c r="B202" s="392"/>
      <c r="C202" s="392"/>
      <c r="D202" s="392"/>
      <c r="E202" s="402">
        <v>670.05</v>
      </c>
      <c r="F202" s="392"/>
      <c r="G202" s="392"/>
      <c r="H202" s="385" t="s">
        <v>685</v>
      </c>
    </row>
    <row r="203" spans="1:8" ht="25" customHeight="1">
      <c r="A203" s="81">
        <v>46023</v>
      </c>
      <c r="B203" s="392"/>
      <c r="C203" s="392"/>
      <c r="D203" s="392"/>
      <c r="E203" s="402">
        <v>120</v>
      </c>
      <c r="F203" s="392"/>
      <c r="G203" s="392"/>
      <c r="H203" s="392" t="s">
        <v>686</v>
      </c>
    </row>
    <row r="204" spans="1:8" ht="25" customHeight="1">
      <c r="A204" s="81">
        <v>46023</v>
      </c>
      <c r="B204" s="392"/>
      <c r="C204" s="392"/>
      <c r="D204" s="385" t="s">
        <v>590</v>
      </c>
      <c r="E204" s="402">
        <v>20</v>
      </c>
      <c r="F204" s="392"/>
      <c r="G204" s="392"/>
      <c r="H204" s="392" t="s">
        <v>633</v>
      </c>
    </row>
    <row r="205" spans="1:8" ht="25" customHeight="1">
      <c r="A205" s="81">
        <v>46023</v>
      </c>
      <c r="B205" s="392"/>
      <c r="C205" s="392"/>
      <c r="D205" s="392"/>
      <c r="E205" s="402">
        <v>4.24</v>
      </c>
      <c r="F205" s="392"/>
      <c r="G205" s="392"/>
      <c r="H205" s="392" t="s">
        <v>667</v>
      </c>
    </row>
    <row r="206" spans="1:8" ht="25" customHeight="1">
      <c r="A206" s="81">
        <v>46023</v>
      </c>
      <c r="B206" s="392"/>
      <c r="C206" s="392"/>
      <c r="D206" s="392"/>
      <c r="E206" s="402">
        <v>550</v>
      </c>
      <c r="F206" s="392"/>
      <c r="G206" s="392"/>
      <c r="H206" s="392" t="s">
        <v>687</v>
      </c>
    </row>
    <row r="207" spans="1:8" ht="25" customHeight="1">
      <c r="A207" s="81">
        <v>46023</v>
      </c>
      <c r="B207" s="383"/>
      <c r="C207" s="385"/>
      <c r="D207" s="385"/>
      <c r="E207" s="403">
        <v>123</v>
      </c>
      <c r="F207" s="385"/>
      <c r="G207" s="385"/>
      <c r="H207" s="392" t="s">
        <v>671</v>
      </c>
    </row>
    <row r="208" spans="1:8" ht="25" customHeight="1">
      <c r="A208" s="81">
        <v>46023</v>
      </c>
      <c r="B208" s="383"/>
      <c r="C208" s="385"/>
      <c r="D208" s="385"/>
      <c r="E208" s="403">
        <v>1.5</v>
      </c>
      <c r="F208" s="385"/>
      <c r="G208" s="385"/>
      <c r="H208" s="392" t="s">
        <v>688</v>
      </c>
    </row>
    <row r="209" spans="1:8" ht="25" customHeight="1">
      <c r="A209" s="81">
        <v>46023</v>
      </c>
      <c r="B209" s="383"/>
      <c r="C209" s="385"/>
      <c r="D209" s="385"/>
      <c r="E209" s="403"/>
      <c r="F209" s="385"/>
      <c r="G209" s="385"/>
      <c r="H209" s="392"/>
    </row>
    <row r="210" spans="1:8" ht="25" customHeight="1">
      <c r="A210" s="81">
        <v>46023</v>
      </c>
      <c r="B210" s="383"/>
      <c r="C210" s="385"/>
      <c r="D210" s="385"/>
      <c r="E210" s="403"/>
      <c r="F210" s="385"/>
      <c r="G210" s="385"/>
      <c r="H210" s="392"/>
    </row>
    <row r="211" spans="1:8" ht="25" customHeight="1">
      <c r="A211" s="81">
        <v>46023</v>
      </c>
      <c r="B211" s="383"/>
      <c r="C211" s="385"/>
      <c r="D211" s="84" t="s">
        <v>487</v>
      </c>
      <c r="E211" s="206">
        <f>SUM(E186:E209)</f>
        <v>6002.8600000000006</v>
      </c>
      <c r="F211" s="385"/>
      <c r="G211" s="385"/>
      <c r="H211" s="392"/>
    </row>
    <row r="212" spans="1:8" ht="25" customHeight="1">
      <c r="A212" s="126">
        <v>46023</v>
      </c>
      <c r="B212" s="388"/>
      <c r="C212" s="389"/>
      <c r="D212" s="389"/>
      <c r="E212" s="404"/>
      <c r="F212" s="389"/>
      <c r="G212" s="389"/>
      <c r="H212" s="391"/>
    </row>
    <row r="213" spans="1:8" ht="25" customHeight="1">
      <c r="A213" s="81">
        <v>46054</v>
      </c>
      <c r="B213" s="383"/>
      <c r="C213" s="385"/>
      <c r="D213" s="385"/>
      <c r="E213" s="403">
        <v>17.059999999999999</v>
      </c>
      <c r="F213" s="385"/>
      <c r="G213" s="385"/>
      <c r="H213" s="392" t="s">
        <v>689</v>
      </c>
    </row>
    <row r="214" spans="1:8" ht="25" customHeight="1">
      <c r="A214" s="81">
        <v>46054</v>
      </c>
      <c r="B214" s="383"/>
      <c r="C214" s="385"/>
      <c r="D214" s="385"/>
      <c r="E214" s="403">
        <v>5.55</v>
      </c>
      <c r="F214" s="385"/>
      <c r="G214" s="385"/>
      <c r="H214" s="392" t="s">
        <v>690</v>
      </c>
    </row>
    <row r="215" spans="1:8" ht="25" customHeight="1">
      <c r="A215" s="81">
        <v>46054</v>
      </c>
      <c r="B215" s="383"/>
      <c r="C215" s="385"/>
      <c r="D215" s="385"/>
      <c r="E215" s="403">
        <v>9.18</v>
      </c>
      <c r="F215" s="385"/>
      <c r="G215" s="385"/>
      <c r="H215" s="392" t="s">
        <v>691</v>
      </c>
    </row>
    <row r="216" spans="1:8" ht="25" customHeight="1">
      <c r="A216" s="81">
        <v>46054</v>
      </c>
      <c r="B216" s="383"/>
      <c r="C216" s="385"/>
      <c r="D216" s="385"/>
      <c r="E216" s="403">
        <v>260</v>
      </c>
      <c r="F216" s="385"/>
      <c r="G216" s="385"/>
      <c r="H216" s="392" t="s">
        <v>620</v>
      </c>
    </row>
    <row r="217" spans="1:8" ht="25" customHeight="1">
      <c r="A217" s="81">
        <v>46054</v>
      </c>
      <c r="B217" s="383"/>
      <c r="C217" s="385"/>
      <c r="D217" s="385"/>
      <c r="E217" s="403">
        <v>10</v>
      </c>
      <c r="F217" s="385"/>
      <c r="G217" s="385"/>
      <c r="H217" s="392" t="s">
        <v>692</v>
      </c>
    </row>
    <row r="218" spans="1:8" ht="25" customHeight="1">
      <c r="A218" s="81">
        <v>46054</v>
      </c>
      <c r="B218" s="383"/>
      <c r="C218" s="385"/>
      <c r="D218" s="385"/>
      <c r="E218" s="403">
        <v>2500</v>
      </c>
      <c r="F218" s="385"/>
      <c r="G218" s="385"/>
      <c r="H218" s="392" t="s">
        <v>585</v>
      </c>
    </row>
    <row r="219" spans="1:8" ht="25" customHeight="1">
      <c r="A219" s="81">
        <v>46054</v>
      </c>
      <c r="B219" s="383"/>
      <c r="C219" s="385"/>
      <c r="D219" s="385"/>
      <c r="E219" s="403">
        <v>18</v>
      </c>
      <c r="F219" s="385"/>
      <c r="G219" s="385"/>
      <c r="H219" s="392" t="s">
        <v>693</v>
      </c>
    </row>
    <row r="220" spans="1:8" ht="25" customHeight="1">
      <c r="A220" s="81">
        <v>46054</v>
      </c>
      <c r="B220" s="383"/>
      <c r="C220" s="385"/>
      <c r="D220" s="385"/>
      <c r="E220" s="403">
        <f>46.99+53.99+55.99</f>
        <v>156.97</v>
      </c>
      <c r="F220" s="385"/>
      <c r="G220" s="385"/>
      <c r="H220" s="392" t="s">
        <v>694</v>
      </c>
    </row>
    <row r="221" spans="1:8" ht="25" customHeight="1">
      <c r="A221" s="81">
        <v>46054</v>
      </c>
      <c r="B221" s="383"/>
      <c r="C221" s="385"/>
      <c r="D221" s="385"/>
      <c r="E221" s="403">
        <v>3.1</v>
      </c>
      <c r="F221" s="385"/>
      <c r="G221" s="385"/>
      <c r="H221" s="392" t="s">
        <v>452</v>
      </c>
    </row>
    <row r="222" spans="1:8" ht="25" customHeight="1">
      <c r="A222" s="81">
        <v>46054</v>
      </c>
      <c r="B222" s="383"/>
      <c r="C222" s="385"/>
      <c r="D222" s="385"/>
      <c r="E222" s="403">
        <v>3.2</v>
      </c>
      <c r="F222" s="385"/>
      <c r="G222" s="385"/>
      <c r="H222" s="392" t="s">
        <v>695</v>
      </c>
    </row>
    <row r="223" spans="1:8" ht="25" customHeight="1">
      <c r="A223" s="81">
        <v>46054</v>
      </c>
      <c r="B223" s="383"/>
      <c r="C223" s="385"/>
      <c r="D223" s="385"/>
      <c r="E223" s="403">
        <v>4.74</v>
      </c>
      <c r="F223" s="385"/>
      <c r="G223" s="385"/>
      <c r="H223" s="392" t="s">
        <v>696</v>
      </c>
    </row>
    <row r="224" spans="1:8" ht="25" customHeight="1">
      <c r="A224" s="81">
        <v>46054</v>
      </c>
      <c r="B224" s="383"/>
      <c r="C224" s="385"/>
      <c r="D224" s="385"/>
      <c r="E224" s="403">
        <v>40</v>
      </c>
      <c r="F224" s="385" t="s">
        <v>697</v>
      </c>
      <c r="G224" s="385"/>
      <c r="H224" s="392" t="s">
        <v>698</v>
      </c>
    </row>
    <row r="225" spans="1:8" ht="25" customHeight="1">
      <c r="A225" s="81">
        <v>46054</v>
      </c>
      <c r="B225" s="383"/>
      <c r="C225" s="385"/>
      <c r="D225" s="385"/>
      <c r="E225" s="403">
        <v>2.2000000000000002</v>
      </c>
      <c r="F225" s="385"/>
      <c r="G225" s="385"/>
      <c r="H225" s="392" t="s">
        <v>699</v>
      </c>
    </row>
    <row r="226" spans="1:8" ht="25" customHeight="1">
      <c r="A226" s="81">
        <v>46054</v>
      </c>
      <c r="B226" s="383">
        <v>46067</v>
      </c>
      <c r="C226" s="385"/>
      <c r="D226" s="385"/>
      <c r="E226" s="403">
        <v>212.33</v>
      </c>
      <c r="F226" s="385"/>
      <c r="G226" s="385"/>
      <c r="H226" s="392" t="s">
        <v>700</v>
      </c>
    </row>
    <row r="227" spans="1:8" ht="25" customHeight="1">
      <c r="A227" s="81">
        <v>46054</v>
      </c>
      <c r="B227" s="383"/>
      <c r="C227" s="385"/>
      <c r="D227" s="385"/>
      <c r="E227" s="403">
        <v>670.09</v>
      </c>
      <c r="F227" s="385"/>
      <c r="G227" s="385"/>
      <c r="H227" s="392" t="s">
        <v>701</v>
      </c>
    </row>
    <row r="228" spans="1:8" ht="25" customHeight="1">
      <c r="A228" s="81">
        <v>46054</v>
      </c>
      <c r="B228" s="383"/>
      <c r="C228" s="385"/>
      <c r="D228" s="385"/>
      <c r="E228" s="403">
        <v>1891.25</v>
      </c>
      <c r="F228" s="385"/>
      <c r="G228" s="385"/>
      <c r="H228" s="392" t="s">
        <v>661</v>
      </c>
    </row>
    <row r="229" spans="1:8" ht="25" customHeight="1">
      <c r="A229" s="81">
        <v>46054</v>
      </c>
      <c r="B229" s="383"/>
      <c r="C229" s="385"/>
      <c r="D229" s="385"/>
      <c r="E229" s="403">
        <v>10.52</v>
      </c>
      <c r="F229" s="385"/>
      <c r="G229" s="385"/>
      <c r="H229" s="392" t="s">
        <v>702</v>
      </c>
    </row>
    <row r="230" spans="1:8" ht="25" customHeight="1">
      <c r="A230" s="81">
        <v>46054</v>
      </c>
      <c r="B230" s="383"/>
      <c r="C230" s="385"/>
      <c r="D230" s="385"/>
      <c r="E230" s="403">
        <v>9.42</v>
      </c>
      <c r="F230" s="385"/>
      <c r="G230" s="385"/>
      <c r="H230" s="392" t="s">
        <v>702</v>
      </c>
    </row>
    <row r="231" spans="1:8" ht="25" customHeight="1">
      <c r="A231" s="81">
        <v>46054</v>
      </c>
      <c r="B231" s="383"/>
      <c r="C231" s="385"/>
      <c r="D231" s="385"/>
      <c r="E231" s="403">
        <v>18.989999999999998</v>
      </c>
      <c r="F231" s="385"/>
      <c r="G231" s="385"/>
      <c r="H231" s="392" t="s">
        <v>703</v>
      </c>
    </row>
    <row r="232" spans="1:8" ht="25" customHeight="1">
      <c r="A232" s="81">
        <v>46054</v>
      </c>
      <c r="B232" s="383"/>
      <c r="C232" s="385"/>
      <c r="D232" s="385"/>
      <c r="E232" s="403">
        <v>18</v>
      </c>
      <c r="F232" s="385"/>
      <c r="G232" s="385"/>
      <c r="H232" s="392" t="s">
        <v>704</v>
      </c>
    </row>
    <row r="233" spans="1:8" ht="25" customHeight="1">
      <c r="A233" s="81">
        <v>46054</v>
      </c>
      <c r="B233" s="383"/>
      <c r="C233" s="385"/>
      <c r="D233" s="385"/>
      <c r="E233" s="403">
        <v>11.39</v>
      </c>
      <c r="F233" s="385"/>
      <c r="G233" s="385"/>
      <c r="H233" s="392" t="s">
        <v>630</v>
      </c>
    </row>
    <row r="234" spans="1:8" ht="25" customHeight="1">
      <c r="A234" s="81">
        <v>46054</v>
      </c>
      <c r="B234" s="383"/>
      <c r="C234" s="385"/>
      <c r="D234" s="385"/>
      <c r="E234" s="403">
        <v>137.97999999999999</v>
      </c>
      <c r="F234" s="385"/>
      <c r="G234" s="385"/>
      <c r="H234" s="392" t="s">
        <v>705</v>
      </c>
    </row>
    <row r="235" spans="1:8" ht="25" customHeight="1">
      <c r="A235" s="81">
        <v>46054</v>
      </c>
      <c r="B235" s="127"/>
      <c r="C235" s="50"/>
      <c r="D235" s="50"/>
      <c r="E235" s="403">
        <v>5.98</v>
      </c>
      <c r="F235" s="403"/>
      <c r="G235" s="403"/>
      <c r="H235" s="402" t="s">
        <v>706</v>
      </c>
    </row>
    <row r="236" spans="1:8" ht="25" customHeight="1">
      <c r="A236" s="81">
        <v>46054</v>
      </c>
      <c r="B236" s="127"/>
      <c r="C236" s="50"/>
      <c r="D236" s="50"/>
      <c r="E236" s="403">
        <v>4.25</v>
      </c>
      <c r="F236" s="403"/>
      <c r="G236" s="403"/>
      <c r="H236" s="402" t="s">
        <v>707</v>
      </c>
    </row>
    <row r="237" spans="1:8" ht="25" customHeight="1">
      <c r="A237" s="81">
        <v>46054</v>
      </c>
      <c r="B237" s="127"/>
      <c r="C237" s="50"/>
      <c r="D237" s="50"/>
      <c r="E237" s="403">
        <v>20</v>
      </c>
      <c r="F237" s="403"/>
      <c r="G237" s="403"/>
      <c r="H237" s="402" t="s">
        <v>708</v>
      </c>
    </row>
    <row r="238" spans="1:8" ht="25" customHeight="1">
      <c r="A238" s="81">
        <v>46054</v>
      </c>
      <c r="B238" s="127"/>
      <c r="C238" s="50"/>
      <c r="D238" s="50"/>
      <c r="E238" s="403">
        <v>49.99</v>
      </c>
      <c r="F238" s="403"/>
      <c r="G238" s="403"/>
      <c r="H238" s="402" t="s">
        <v>709</v>
      </c>
    </row>
    <row r="239" spans="1:8" ht="25" customHeight="1">
      <c r="A239" s="81">
        <v>46054</v>
      </c>
      <c r="B239" s="127"/>
      <c r="C239" s="50"/>
      <c r="D239" s="50"/>
      <c r="E239" s="403">
        <f>SUM(70+5+50+49.99+8.39)</f>
        <v>183.38</v>
      </c>
      <c r="F239" s="271"/>
      <c r="G239" s="271"/>
      <c r="H239" s="385" t="s">
        <v>710</v>
      </c>
    </row>
    <row r="240" spans="1:8" ht="25" customHeight="1">
      <c r="A240" s="81">
        <v>46054</v>
      </c>
      <c r="B240" s="127"/>
      <c r="C240" s="385"/>
      <c r="D240" s="385"/>
      <c r="E240" s="403">
        <v>25</v>
      </c>
      <c r="F240" s="403"/>
      <c r="G240" s="403"/>
      <c r="H240" s="392" t="s">
        <v>711</v>
      </c>
    </row>
    <row r="241" spans="1:8" ht="25" customHeight="1">
      <c r="A241" s="81">
        <v>46054</v>
      </c>
      <c r="B241" s="127"/>
      <c r="C241" s="385"/>
      <c r="D241" s="385"/>
      <c r="E241" s="403">
        <v>25.2</v>
      </c>
      <c r="F241" s="403"/>
      <c r="G241" s="403"/>
      <c r="H241" s="402" t="s">
        <v>712</v>
      </c>
    </row>
    <row r="242" spans="1:8" ht="25" customHeight="1">
      <c r="A242" s="81">
        <v>46054</v>
      </c>
      <c r="B242" s="127"/>
      <c r="C242" s="50"/>
      <c r="D242" s="50"/>
      <c r="E242" s="271"/>
      <c r="F242" s="271"/>
      <c r="G242" s="271"/>
      <c r="H242" s="286"/>
    </row>
    <row r="243" spans="1:8" ht="25" customHeight="1">
      <c r="A243" s="81">
        <v>46054</v>
      </c>
      <c r="B243" s="127"/>
      <c r="C243" s="50"/>
      <c r="D243" s="84" t="s">
        <v>487</v>
      </c>
      <c r="E243" s="206">
        <f>SUM(E213:E241)</f>
        <v>6323.7699999999986</v>
      </c>
      <c r="F243" s="50"/>
      <c r="G243" s="50"/>
      <c r="H243" s="402"/>
    </row>
    <row r="244" spans="1:8" ht="25" customHeight="1">
      <c r="A244" s="86"/>
      <c r="B244" s="196"/>
      <c r="C244" s="51"/>
      <c r="D244" s="51"/>
      <c r="E244" s="51"/>
      <c r="F244" s="51"/>
      <c r="G244" s="51"/>
      <c r="H244" s="405"/>
    </row>
    <row r="245" spans="1:8" ht="25" customHeight="1">
      <c r="A245" s="209">
        <v>46082</v>
      </c>
      <c r="B245" s="403"/>
      <c r="C245" s="403"/>
      <c r="D245" s="403"/>
      <c r="E245" s="403">
        <v>65</v>
      </c>
      <c r="F245" s="403"/>
      <c r="G245" s="403"/>
      <c r="H245" s="402" t="s">
        <v>713</v>
      </c>
    </row>
    <row r="246" spans="1:8" ht="25" customHeight="1">
      <c r="A246" s="209">
        <v>46082</v>
      </c>
      <c r="B246" s="403"/>
      <c r="C246" s="403"/>
      <c r="D246" s="403"/>
      <c r="E246" s="403">
        <v>6.88</v>
      </c>
      <c r="F246" s="403"/>
      <c r="G246" s="403"/>
      <c r="H246" s="402" t="s">
        <v>519</v>
      </c>
    </row>
    <row r="247" spans="1:8" ht="25" customHeight="1">
      <c r="A247" s="209">
        <v>46082</v>
      </c>
      <c r="B247" s="403"/>
      <c r="C247" s="403"/>
      <c r="D247" s="403"/>
      <c r="E247" s="403">
        <v>70.8</v>
      </c>
      <c r="F247" s="403"/>
      <c r="G247" s="403"/>
      <c r="H247" s="402" t="s">
        <v>544</v>
      </c>
    </row>
    <row r="248" spans="1:8" ht="25" customHeight="1">
      <c r="A248" s="209">
        <v>46082</v>
      </c>
      <c r="B248" s="403"/>
      <c r="C248" s="403"/>
      <c r="D248" s="403"/>
      <c r="E248" s="403">
        <v>20</v>
      </c>
      <c r="F248" s="403"/>
      <c r="G248" s="403"/>
      <c r="H248" s="402" t="s">
        <v>574</v>
      </c>
    </row>
    <row r="249" spans="1:8" ht="25" customHeight="1">
      <c r="A249" s="209">
        <v>46082</v>
      </c>
      <c r="B249" s="403"/>
      <c r="C249" s="403"/>
      <c r="D249" s="403"/>
      <c r="E249" s="403">
        <v>17.059999999999999</v>
      </c>
      <c r="F249" s="403"/>
      <c r="G249" s="403"/>
      <c r="H249" s="402" t="s">
        <v>714</v>
      </c>
    </row>
    <row r="250" spans="1:8" ht="25" customHeight="1">
      <c r="A250" s="209">
        <v>46082</v>
      </c>
      <c r="B250" s="403"/>
      <c r="C250" s="403"/>
      <c r="D250" s="403"/>
      <c r="E250" s="403">
        <v>43</v>
      </c>
      <c r="F250" s="403"/>
      <c r="G250" s="403"/>
      <c r="H250" s="402" t="s">
        <v>715</v>
      </c>
    </row>
    <row r="251" spans="1:8" ht="25" customHeight="1">
      <c r="A251" s="209">
        <v>46082</v>
      </c>
      <c r="B251" s="403"/>
      <c r="C251" s="403"/>
      <c r="D251" s="403"/>
      <c r="E251" s="403">
        <v>30</v>
      </c>
      <c r="F251" s="403"/>
      <c r="G251" s="403"/>
      <c r="H251" s="402" t="s">
        <v>716</v>
      </c>
    </row>
    <row r="252" spans="1:8" ht="25" customHeight="1">
      <c r="A252" s="209">
        <v>46082</v>
      </c>
      <c r="B252" s="403"/>
      <c r="C252" s="403"/>
      <c r="D252" s="403"/>
      <c r="E252" s="403">
        <v>2500</v>
      </c>
      <c r="F252" s="403"/>
      <c r="G252" s="403"/>
      <c r="H252" s="402" t="s">
        <v>585</v>
      </c>
    </row>
    <row r="253" spans="1:8" ht="25" customHeight="1">
      <c r="A253" s="209">
        <v>46082</v>
      </c>
      <c r="B253" s="403"/>
      <c r="C253" s="403"/>
      <c r="D253" s="403"/>
      <c r="E253" s="403">
        <v>160</v>
      </c>
      <c r="F253" s="403"/>
      <c r="G253" s="403"/>
      <c r="H253" s="402" t="s">
        <v>717</v>
      </c>
    </row>
    <row r="254" spans="1:8" ht="25" customHeight="1">
      <c r="A254" s="209">
        <v>46082</v>
      </c>
      <c r="B254" s="403"/>
      <c r="C254" s="403"/>
      <c r="D254" s="403"/>
      <c r="E254" s="403">
        <v>90</v>
      </c>
      <c r="F254" s="403"/>
      <c r="G254" s="403"/>
      <c r="H254" s="402" t="s">
        <v>718</v>
      </c>
    </row>
    <row r="255" spans="1:8" ht="25" customHeight="1">
      <c r="A255" s="209">
        <v>46082</v>
      </c>
      <c r="B255" s="403"/>
      <c r="C255" s="403"/>
      <c r="D255" s="403"/>
      <c r="E255" s="403">
        <v>212.33</v>
      </c>
      <c r="F255" s="403"/>
      <c r="G255" s="403"/>
      <c r="H255" s="402" t="s">
        <v>700</v>
      </c>
    </row>
    <row r="256" spans="1:8" ht="25" customHeight="1">
      <c r="A256" s="209">
        <v>46082</v>
      </c>
      <c r="B256" s="403"/>
      <c r="C256" s="403"/>
      <c r="D256" s="403"/>
      <c r="E256" s="403">
        <v>670.05</v>
      </c>
      <c r="F256" s="403"/>
      <c r="G256" s="403"/>
      <c r="H256" s="402" t="s">
        <v>464</v>
      </c>
    </row>
    <row r="257" spans="1:8" ht="25" customHeight="1">
      <c r="A257" s="209">
        <v>46082</v>
      </c>
      <c r="B257" s="403"/>
      <c r="C257" s="403"/>
      <c r="D257" s="403"/>
      <c r="E257" s="403">
        <v>2130.2399999999998</v>
      </c>
      <c r="F257" s="403"/>
      <c r="G257" s="403"/>
      <c r="H257" s="402" t="s">
        <v>661</v>
      </c>
    </row>
    <row r="258" spans="1:8" ht="25" customHeight="1">
      <c r="A258" s="209">
        <v>46082</v>
      </c>
      <c r="B258" s="403"/>
      <c r="C258" s="403"/>
      <c r="D258" s="403"/>
      <c r="E258" s="403">
        <v>20</v>
      </c>
      <c r="F258" s="403"/>
      <c r="G258" s="403"/>
      <c r="H258" s="402" t="s">
        <v>633</v>
      </c>
    </row>
    <row r="259" spans="1:8" ht="25" customHeight="1">
      <c r="A259" s="209">
        <v>46082</v>
      </c>
      <c r="B259" s="403"/>
      <c r="C259" s="403"/>
      <c r="D259" s="403"/>
      <c r="E259" s="403">
        <v>20</v>
      </c>
      <c r="F259" s="403"/>
      <c r="G259" s="403"/>
      <c r="H259" s="402" t="s">
        <v>719</v>
      </c>
    </row>
    <row r="260" spans="1:8" ht="25" customHeight="1">
      <c r="A260" s="209">
        <v>46082</v>
      </c>
      <c r="B260" s="403"/>
      <c r="C260" s="403"/>
      <c r="D260" s="403"/>
      <c r="E260" s="403">
        <v>4.25</v>
      </c>
      <c r="F260" s="403"/>
      <c r="G260" s="403"/>
      <c r="H260" s="402" t="s">
        <v>667</v>
      </c>
    </row>
    <row r="261" spans="1:8" ht="25" customHeight="1">
      <c r="A261" s="209">
        <v>46082</v>
      </c>
      <c r="B261" s="403"/>
      <c r="C261" s="403"/>
      <c r="D261" s="403"/>
      <c r="E261" s="403">
        <v>8.99</v>
      </c>
      <c r="F261" s="403"/>
      <c r="G261" s="403"/>
      <c r="H261" s="402" t="s">
        <v>720</v>
      </c>
    </row>
    <row r="262" spans="1:8" ht="25" customHeight="1">
      <c r="A262" s="209">
        <v>46082</v>
      </c>
      <c r="B262" s="127"/>
      <c r="C262" s="271"/>
      <c r="D262" s="271"/>
      <c r="E262" s="271"/>
      <c r="F262" s="271"/>
      <c r="G262" s="271"/>
      <c r="H262" s="286"/>
    </row>
    <row r="263" spans="1:8" ht="25" customHeight="1">
      <c r="A263" s="209">
        <v>46082</v>
      </c>
      <c r="B263" s="127"/>
      <c r="C263" s="271"/>
      <c r="D263" s="271"/>
      <c r="E263" s="271"/>
      <c r="F263" s="271"/>
      <c r="G263" s="271"/>
      <c r="H263" s="286"/>
    </row>
    <row r="264" spans="1:8" ht="25" customHeight="1">
      <c r="A264" s="209">
        <v>46082</v>
      </c>
      <c r="B264" s="403"/>
      <c r="C264" s="403"/>
      <c r="D264" s="403"/>
      <c r="E264" s="403"/>
      <c r="F264" s="403"/>
      <c r="G264" s="403"/>
      <c r="H264" s="402"/>
    </row>
    <row r="265" spans="1:8" ht="25" customHeight="1">
      <c r="A265" s="209">
        <v>46082</v>
      </c>
      <c r="B265" s="403"/>
      <c r="C265" s="403"/>
      <c r="D265" s="406" t="s">
        <v>487</v>
      </c>
      <c r="E265" s="406">
        <f>SUM(E245:E264)</f>
        <v>6068.5999999999995</v>
      </c>
      <c r="F265" s="403"/>
      <c r="G265" s="403"/>
      <c r="H265" s="402"/>
    </row>
    <row r="266" spans="1:8" ht="25" customHeight="1">
      <c r="A266" s="231">
        <v>46082</v>
      </c>
      <c r="B266" s="404"/>
      <c r="C266" s="404"/>
      <c r="D266" s="404"/>
      <c r="E266" s="404"/>
      <c r="F266" s="404"/>
      <c r="G266" s="404"/>
      <c r="H266" s="405"/>
    </row>
    <row r="267" spans="1:8" ht="25" customHeight="1">
      <c r="A267" s="209">
        <v>46113</v>
      </c>
      <c r="B267" s="403"/>
      <c r="C267" s="403"/>
      <c r="D267" s="403"/>
      <c r="E267" s="403">
        <v>17.059999999999999</v>
      </c>
      <c r="F267" s="403"/>
      <c r="G267" s="403"/>
      <c r="H267" s="402" t="s">
        <v>714</v>
      </c>
    </row>
    <row r="268" spans="1:8" ht="25" customHeight="1">
      <c r="A268" s="209">
        <v>46113</v>
      </c>
      <c r="B268" s="403"/>
      <c r="C268" s="403"/>
      <c r="D268" s="403"/>
      <c r="E268" s="403">
        <v>20</v>
      </c>
      <c r="F268" s="403"/>
      <c r="G268" s="403"/>
      <c r="H268" s="402" t="s">
        <v>721</v>
      </c>
    </row>
    <row r="269" spans="1:8" ht="25" customHeight="1">
      <c r="A269" s="209">
        <v>46113</v>
      </c>
      <c r="B269" s="403"/>
      <c r="C269" s="403"/>
      <c r="D269" s="403"/>
      <c r="E269" s="403">
        <v>20</v>
      </c>
      <c r="F269" s="403"/>
      <c r="G269" s="403"/>
      <c r="H269" s="402" t="s">
        <v>574</v>
      </c>
    </row>
    <row r="270" spans="1:8" ht="25" customHeight="1">
      <c r="A270" s="209">
        <v>46113</v>
      </c>
      <c r="B270" s="403"/>
      <c r="C270" s="403"/>
      <c r="D270" s="403"/>
      <c r="E270" s="403">
        <v>20</v>
      </c>
      <c r="F270" s="403"/>
      <c r="G270" s="403"/>
      <c r="H270" s="402" t="s">
        <v>722</v>
      </c>
    </row>
    <row r="271" spans="1:8" ht="25" customHeight="1">
      <c r="A271" s="209">
        <v>46113</v>
      </c>
      <c r="B271" s="403"/>
      <c r="C271" s="403"/>
      <c r="D271" s="403"/>
      <c r="E271" s="403">
        <v>40</v>
      </c>
      <c r="F271" s="403"/>
      <c r="G271" s="403"/>
      <c r="H271" s="402" t="s">
        <v>723</v>
      </c>
    </row>
    <row r="272" spans="1:8" ht="25" customHeight="1">
      <c r="A272" s="209">
        <v>46113</v>
      </c>
      <c r="B272" s="403"/>
      <c r="C272" s="403"/>
      <c r="D272" s="403"/>
      <c r="E272" s="403">
        <v>2500</v>
      </c>
      <c r="F272" s="403"/>
      <c r="G272" s="403"/>
      <c r="H272" s="402" t="s">
        <v>724</v>
      </c>
    </row>
    <row r="273" spans="1:8" ht="25" customHeight="1">
      <c r="A273" s="209">
        <v>46113</v>
      </c>
      <c r="B273" s="403"/>
      <c r="C273" s="403"/>
      <c r="D273" s="403"/>
      <c r="E273" s="403">
        <v>70.8</v>
      </c>
      <c r="F273" s="403"/>
      <c r="G273" s="403"/>
      <c r="H273" s="402" t="s">
        <v>544</v>
      </c>
    </row>
    <row r="274" spans="1:8" ht="25" customHeight="1">
      <c r="A274" s="209">
        <v>46113</v>
      </c>
      <c r="B274" s="403"/>
      <c r="C274" s="403"/>
      <c r="D274" s="403"/>
      <c r="E274" s="403">
        <v>260</v>
      </c>
      <c r="F274" s="403"/>
      <c r="G274" s="403"/>
      <c r="H274" s="402" t="s">
        <v>725</v>
      </c>
    </row>
    <row r="275" spans="1:8" ht="25" customHeight="1">
      <c r="A275" s="209">
        <v>46113</v>
      </c>
      <c r="B275" s="403"/>
      <c r="C275" s="403"/>
      <c r="D275" s="403"/>
      <c r="E275" s="403"/>
      <c r="F275" s="403"/>
      <c r="G275" s="403"/>
      <c r="H275" s="402"/>
    </row>
    <row r="276" spans="1:8" ht="25" customHeight="1">
      <c r="A276" s="209">
        <v>46113</v>
      </c>
      <c r="B276" s="403"/>
      <c r="C276" s="403"/>
      <c r="D276" s="403"/>
      <c r="E276" s="403"/>
      <c r="F276" s="403"/>
      <c r="G276" s="403"/>
      <c r="H276" s="402"/>
    </row>
    <row r="277" spans="1:8" ht="25" customHeight="1">
      <c r="A277" s="209">
        <v>46113</v>
      </c>
      <c r="B277" s="403"/>
      <c r="C277" s="403"/>
      <c r="D277" s="403"/>
      <c r="E277" s="403"/>
      <c r="F277" s="403"/>
      <c r="G277" s="403"/>
      <c r="H277" s="402"/>
    </row>
    <row r="278" spans="1:8" ht="25" customHeight="1">
      <c r="A278" s="209">
        <v>46113</v>
      </c>
      <c r="B278" s="403"/>
      <c r="C278" s="403"/>
      <c r="D278" s="403"/>
      <c r="E278" s="403"/>
      <c r="F278" s="403"/>
      <c r="G278" s="403"/>
      <c r="H278" s="402"/>
    </row>
    <row r="279" spans="1:8" ht="25" customHeight="1">
      <c r="A279" s="209">
        <v>46113</v>
      </c>
      <c r="B279" s="403"/>
      <c r="C279" s="403"/>
      <c r="D279" s="403"/>
      <c r="E279" s="403"/>
      <c r="F279" s="403"/>
      <c r="G279" s="403"/>
      <c r="H279" s="402"/>
    </row>
    <row r="280" spans="1:8" ht="25" customHeight="1">
      <c r="A280" s="209">
        <v>46113</v>
      </c>
      <c r="B280" s="403"/>
      <c r="C280" s="403"/>
      <c r="D280" s="403"/>
      <c r="E280" s="403"/>
      <c r="F280" s="403"/>
      <c r="G280" s="403"/>
      <c r="H280" s="402"/>
    </row>
    <row r="281" spans="1:8" ht="25" customHeight="1">
      <c r="A281" s="209">
        <v>46113</v>
      </c>
      <c r="B281" s="403"/>
      <c r="C281" s="403"/>
      <c r="D281" s="403"/>
      <c r="E281" s="403"/>
      <c r="F281" s="403"/>
      <c r="G281" s="403"/>
      <c r="H281" s="402"/>
    </row>
    <row r="282" spans="1:8" ht="25" customHeight="1">
      <c r="A282" s="209">
        <v>46113</v>
      </c>
      <c r="B282" s="403"/>
      <c r="C282" s="403"/>
      <c r="D282" s="403"/>
      <c r="E282" s="403"/>
      <c r="F282" s="403"/>
      <c r="G282" s="403"/>
      <c r="H282" s="402"/>
    </row>
    <row r="283" spans="1:8" ht="25" customHeight="1">
      <c r="A283" s="209">
        <v>46113</v>
      </c>
      <c r="B283" s="403"/>
      <c r="C283" s="403"/>
      <c r="D283" s="403"/>
      <c r="E283" s="403"/>
      <c r="F283" s="403"/>
      <c r="G283" s="403"/>
      <c r="H283" s="402"/>
    </row>
    <row r="284" spans="1:8" ht="25" customHeight="1">
      <c r="A284" s="209">
        <v>46113</v>
      </c>
      <c r="B284" s="403"/>
      <c r="C284" s="403"/>
      <c r="D284" s="403"/>
      <c r="E284" s="403"/>
      <c r="F284" s="403"/>
      <c r="G284" s="403"/>
      <c r="H284" s="402"/>
    </row>
    <row r="285" spans="1:8" ht="25" customHeight="1">
      <c r="A285" s="209">
        <v>46113</v>
      </c>
      <c r="B285" s="403"/>
      <c r="C285" s="403"/>
      <c r="D285" s="403"/>
      <c r="E285" s="403"/>
      <c r="F285" s="403"/>
      <c r="G285" s="403"/>
      <c r="H285" s="402"/>
    </row>
    <row r="286" spans="1:8" ht="25" customHeight="1">
      <c r="A286" s="209">
        <v>46113</v>
      </c>
      <c r="B286" s="403"/>
      <c r="C286" s="403"/>
      <c r="D286" s="403"/>
      <c r="E286" s="403"/>
      <c r="F286" s="403"/>
      <c r="G286" s="403"/>
      <c r="H286" s="402"/>
    </row>
    <row r="287" spans="1:8" ht="25" customHeight="1">
      <c r="A287" s="209">
        <v>46113</v>
      </c>
      <c r="B287" s="403"/>
      <c r="C287" s="403"/>
      <c r="D287" s="403"/>
      <c r="E287" s="403"/>
      <c r="F287" s="403"/>
      <c r="G287" s="403"/>
      <c r="H287" s="402"/>
    </row>
    <row r="288" spans="1:8" ht="25" customHeight="1">
      <c r="A288" s="209">
        <v>46113</v>
      </c>
      <c r="B288" s="403"/>
      <c r="C288" s="403"/>
      <c r="D288" s="403"/>
      <c r="E288" s="403"/>
      <c r="F288" s="403"/>
      <c r="G288" s="403"/>
      <c r="H288" s="402"/>
    </row>
    <row r="289" spans="1:8" ht="25" customHeight="1">
      <c r="A289" s="209">
        <v>46113</v>
      </c>
      <c r="B289" s="403"/>
      <c r="C289" s="403"/>
      <c r="D289" s="403"/>
      <c r="E289" s="403"/>
      <c r="F289" s="403"/>
      <c r="G289" s="403"/>
      <c r="H289" s="402"/>
    </row>
    <row r="290" spans="1:8" ht="25" customHeight="1">
      <c r="A290" s="209">
        <v>46113</v>
      </c>
      <c r="B290" s="403"/>
      <c r="C290" s="403"/>
      <c r="D290" s="403"/>
      <c r="E290" s="403"/>
      <c r="F290" s="403"/>
      <c r="G290" s="403"/>
      <c r="H290" s="402"/>
    </row>
    <row r="291" spans="1:8" ht="25" customHeight="1">
      <c r="A291" s="209">
        <v>46113</v>
      </c>
      <c r="B291" s="403"/>
      <c r="C291" s="403"/>
      <c r="D291" s="403"/>
      <c r="E291" s="403"/>
      <c r="F291" s="403"/>
      <c r="G291" s="403"/>
      <c r="H291" s="402"/>
    </row>
    <row r="292" spans="1:8" ht="25" customHeight="1">
      <c r="A292" s="209">
        <v>46113</v>
      </c>
      <c r="B292" s="403"/>
      <c r="C292" s="403"/>
      <c r="D292" s="403"/>
      <c r="E292" s="403"/>
      <c r="F292" s="403"/>
      <c r="G292" s="403"/>
      <c r="H292" s="402"/>
    </row>
    <row r="293" spans="1:8" ht="25" customHeight="1">
      <c r="A293" s="209">
        <v>46113</v>
      </c>
      <c r="B293" s="403"/>
      <c r="C293" s="403"/>
      <c r="D293" s="403"/>
      <c r="E293" s="403"/>
      <c r="F293" s="403"/>
      <c r="G293" s="403"/>
      <c r="H293" s="402"/>
    </row>
    <row r="294" spans="1:8" ht="25" customHeight="1">
      <c r="A294" s="209">
        <v>46113</v>
      </c>
      <c r="B294" s="403"/>
      <c r="C294" s="403"/>
      <c r="D294" s="403"/>
      <c r="E294" s="403"/>
      <c r="F294" s="403"/>
      <c r="G294" s="403"/>
      <c r="H294" s="402"/>
    </row>
    <row r="295" spans="1:8" ht="25" customHeight="1">
      <c r="A295" s="209">
        <v>46113</v>
      </c>
      <c r="B295" s="403"/>
      <c r="C295" s="403"/>
      <c r="D295" s="406" t="s">
        <v>487</v>
      </c>
      <c r="E295" s="406">
        <f>SUM(E267:E294)</f>
        <v>2947.86</v>
      </c>
      <c r="F295" s="403"/>
      <c r="G295" s="403"/>
      <c r="H295" s="402"/>
    </row>
    <row r="296" spans="1:8" ht="25" customHeight="1">
      <c r="A296" s="86"/>
      <c r="B296" s="404"/>
      <c r="C296" s="404"/>
      <c r="D296" s="404"/>
      <c r="E296" s="404"/>
      <c r="F296" s="404"/>
      <c r="G296" s="404"/>
      <c r="H296" s="405"/>
    </row>
    <row r="297" spans="1:8" ht="25" customHeight="1">
      <c r="A297" s="272"/>
      <c r="B297" s="403"/>
      <c r="C297" s="403"/>
      <c r="D297" s="403"/>
      <c r="E297" s="403"/>
      <c r="F297" s="403"/>
      <c r="G297" s="403"/>
      <c r="H297" s="402"/>
    </row>
    <row r="298" spans="1:8" ht="25" customHeight="1">
      <c r="A298" s="272"/>
      <c r="B298" s="403"/>
      <c r="C298" s="403"/>
      <c r="D298" s="403"/>
      <c r="E298" s="403"/>
      <c r="F298" s="403"/>
      <c r="G298" s="403"/>
      <c r="H298" s="402"/>
    </row>
    <row r="299" spans="1:8" ht="25" customHeight="1">
      <c r="A299" s="272"/>
      <c r="B299" s="403"/>
      <c r="C299" s="403"/>
      <c r="D299" s="403"/>
      <c r="E299" s="403"/>
      <c r="F299" s="403"/>
      <c r="G299" s="403"/>
      <c r="H299" s="402"/>
    </row>
    <row r="300" spans="1:8" ht="25" customHeight="1">
      <c r="A300" s="272"/>
      <c r="B300" s="403"/>
      <c r="C300" s="403"/>
      <c r="D300" s="403"/>
      <c r="E300" s="403"/>
      <c r="F300" s="403"/>
      <c r="G300" s="403"/>
      <c r="H300" s="402"/>
    </row>
    <row r="301" spans="1:8" ht="25" customHeight="1">
      <c r="A301" s="272"/>
      <c r="B301" s="403"/>
      <c r="C301" s="403"/>
      <c r="D301" s="403"/>
      <c r="E301" s="403"/>
      <c r="F301" s="403"/>
      <c r="G301" s="403"/>
      <c r="H301" s="402"/>
    </row>
    <row r="302" spans="1:8" ht="25" customHeight="1">
      <c r="A302" s="272"/>
      <c r="B302" s="403"/>
      <c r="C302" s="403"/>
      <c r="D302" s="403"/>
      <c r="E302" s="403"/>
      <c r="F302" s="403"/>
      <c r="G302" s="403"/>
      <c r="H302" s="402"/>
    </row>
    <row r="303" spans="1:8" ht="25" customHeight="1">
      <c r="A303" s="272"/>
      <c r="B303" s="403"/>
      <c r="C303" s="403"/>
      <c r="D303" s="403"/>
      <c r="E303" s="403"/>
      <c r="F303" s="403"/>
      <c r="G303" s="403"/>
      <c r="H303" s="402"/>
    </row>
    <row r="304" spans="1:8" ht="25" customHeight="1">
      <c r="A304" s="272"/>
      <c r="B304" s="403"/>
      <c r="C304" s="403"/>
      <c r="D304" s="403"/>
      <c r="E304" s="403"/>
      <c r="F304" s="403"/>
      <c r="G304" s="403"/>
      <c r="H304" s="402"/>
    </row>
    <row r="305" spans="1:8" ht="25" customHeight="1">
      <c r="A305" s="272"/>
      <c r="B305" s="403"/>
      <c r="C305" s="403"/>
      <c r="D305" s="403"/>
      <c r="E305" s="403"/>
      <c r="F305" s="403"/>
      <c r="G305" s="403"/>
      <c r="H305" s="402"/>
    </row>
    <row r="306" spans="1:8" ht="25" customHeight="1">
      <c r="A306" s="272"/>
      <c r="B306" s="403"/>
      <c r="C306" s="403"/>
      <c r="D306" s="403"/>
      <c r="E306" s="403"/>
      <c r="F306" s="403"/>
      <c r="G306" s="403"/>
      <c r="H306" s="402"/>
    </row>
    <row r="307" spans="1:8" ht="25" customHeight="1"/>
    <row r="308" spans="1:8" ht="25" customHeight="1"/>
    <row r="309" spans="1:8" ht="25" customHeight="1"/>
    <row r="310" spans="1:8" ht="25" customHeight="1"/>
    <row r="311" spans="1:8" ht="25" customHeight="1"/>
    <row r="312" spans="1:8" ht="25" customHeight="1"/>
    <row r="313" spans="1:8" ht="25" customHeight="1"/>
    <row r="314" spans="1:8" ht="25" customHeight="1"/>
    <row r="315" spans="1:8" ht="25" customHeight="1"/>
    <row r="316" spans="1:8" ht="25" customHeight="1"/>
    <row r="317" spans="1:8" ht="25" customHeight="1"/>
    <row r="318" spans="1:8" ht="25" customHeight="1"/>
    <row r="319" spans="1:8" ht="25" customHeight="1"/>
    <row r="320" spans="1:8" ht="25" customHeight="1"/>
    <row r="321" ht="25" customHeight="1"/>
    <row r="322" ht="25" customHeight="1"/>
    <row r="323" ht="25" customHeight="1"/>
    <row r="324" ht="25" customHeight="1"/>
    <row r="325" ht="25" customHeight="1"/>
    <row r="326" ht="25" customHeight="1"/>
    <row r="327" ht="25" customHeight="1"/>
    <row r="328" ht="25" customHeight="1"/>
    <row r="329" ht="25" customHeight="1"/>
    <row r="330" ht="25" customHeight="1"/>
    <row r="331" ht="25" customHeight="1"/>
    <row r="332" ht="25" customHeight="1"/>
    <row r="333" ht="25" customHeight="1"/>
    <row r="334" ht="25" customHeight="1"/>
    <row r="335" ht="25" customHeight="1"/>
    <row r="336" ht="25" customHeight="1"/>
    <row r="337" ht="25" customHeight="1"/>
    <row r="338" ht="25" customHeight="1"/>
    <row r="339" ht="25" customHeight="1"/>
    <row r="340" ht="25" customHeight="1"/>
    <row r="341" ht="25" customHeight="1"/>
    <row r="342" ht="25" customHeight="1"/>
    <row r="343" ht="25" customHeight="1"/>
    <row r="344" ht="25" customHeight="1"/>
    <row r="345" ht="25" customHeight="1"/>
    <row r="346" ht="25" customHeight="1"/>
    <row r="347" ht="25" customHeight="1"/>
    <row r="348" ht="25" customHeight="1"/>
    <row r="349" ht="25" customHeight="1"/>
    <row r="350" ht="25" customHeight="1"/>
    <row r="351" ht="25" customHeight="1"/>
    <row r="352" ht="25" customHeight="1"/>
    <row r="353" ht="25" customHeight="1"/>
    <row r="354" ht="25" customHeight="1"/>
    <row r="355" ht="25" customHeight="1"/>
    <row r="356" ht="25" customHeight="1"/>
    <row r="357" ht="25" customHeight="1"/>
    <row r="358" ht="25" customHeight="1"/>
    <row r="359" ht="25" customHeight="1"/>
    <row r="360" ht="25" customHeight="1"/>
    <row r="361" ht="25" customHeight="1"/>
    <row r="362" ht="25" customHeight="1"/>
    <row r="363" ht="25" customHeight="1"/>
    <row r="364" ht="25" customHeight="1"/>
    <row r="365" ht="25" customHeight="1"/>
    <row r="366" ht="25" customHeight="1"/>
    <row r="367" ht="25" customHeight="1"/>
    <row r="368" ht="25" customHeight="1"/>
    <row r="369" ht="25" customHeight="1"/>
    <row r="370" ht="25" customHeight="1"/>
    <row r="371" ht="25" customHeight="1"/>
    <row r="372" ht="25" customHeight="1"/>
    <row r="373" ht="25" customHeight="1"/>
    <row r="374" ht="25" customHeight="1"/>
    <row r="375" ht="25" customHeight="1"/>
    <row r="376" ht="25" customHeight="1"/>
    <row r="377" ht="25" customHeight="1"/>
    <row r="378" ht="25" customHeight="1"/>
    <row r="379" ht="25" customHeight="1"/>
    <row r="380" ht="25" customHeight="1"/>
    <row r="381" ht="25" customHeight="1"/>
    <row r="382" ht="25" customHeight="1"/>
    <row r="383" ht="25" customHeight="1"/>
    <row r="384" ht="25" customHeight="1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E297"/>
  <sheetViews>
    <sheetView topLeftCell="A91" zoomScale="85" zoomScaleNormal="85" workbookViewId="0">
      <selection activeCell="D102" sqref="D102"/>
    </sheetView>
  </sheetViews>
  <sheetFormatPr baseColWidth="10" defaultColWidth="8.83203125" defaultRowHeight="15"/>
  <cols>
    <col min="1" max="1" width="19.1640625" customWidth="1"/>
    <col min="2" max="2" width="16.6640625" style="45" customWidth="1"/>
    <col min="3" max="3" width="10.33203125" bestFit="1" customWidth="1"/>
    <col min="4" max="4" width="34.1640625" customWidth="1"/>
  </cols>
  <sheetData>
    <row r="1" spans="1:5" ht="31" customHeight="1">
      <c r="A1" s="58" t="s">
        <v>0</v>
      </c>
      <c r="B1" s="58" t="s">
        <v>437</v>
      </c>
      <c r="C1" s="58" t="s">
        <v>726</v>
      </c>
      <c r="D1" s="58" t="s">
        <v>468</v>
      </c>
      <c r="E1" s="58" t="s">
        <v>727</v>
      </c>
    </row>
    <row r="2" spans="1:5" ht="25.5" customHeight="1">
      <c r="A2" s="80">
        <v>45839</v>
      </c>
      <c r="B2" s="383">
        <v>45858</v>
      </c>
      <c r="C2" s="385" t="s">
        <v>728</v>
      </c>
      <c r="D2" s="386">
        <v>56.41</v>
      </c>
    </row>
    <row r="3" spans="1:5" ht="25.5" customHeight="1">
      <c r="A3" s="80">
        <v>45839</v>
      </c>
      <c r="B3" s="383">
        <v>45861</v>
      </c>
      <c r="C3" s="385" t="s">
        <v>728</v>
      </c>
      <c r="D3" s="386">
        <v>35.19</v>
      </c>
    </row>
    <row r="4" spans="1:5" ht="25.5" customHeight="1">
      <c r="A4" s="80">
        <v>45839</v>
      </c>
      <c r="B4" s="383">
        <v>45863</v>
      </c>
      <c r="C4" s="385" t="s">
        <v>728</v>
      </c>
      <c r="D4" s="386">
        <v>22.13</v>
      </c>
    </row>
    <row r="5" spans="1:5" ht="25.5" customHeight="1">
      <c r="A5" s="80">
        <v>45839</v>
      </c>
      <c r="B5" s="383"/>
      <c r="C5" s="385" t="s">
        <v>728</v>
      </c>
      <c r="D5" s="386">
        <v>30.02</v>
      </c>
    </row>
    <row r="6" spans="1:5" ht="25.5" customHeight="1">
      <c r="A6" s="80">
        <v>45839</v>
      </c>
      <c r="B6" s="383">
        <v>45868</v>
      </c>
      <c r="C6" s="385" t="s">
        <v>596</v>
      </c>
      <c r="D6" s="386">
        <v>60</v>
      </c>
    </row>
    <row r="7" spans="1:5" ht="25.5" customHeight="1">
      <c r="A7" s="80">
        <v>45839</v>
      </c>
      <c r="B7" s="383">
        <v>45857</v>
      </c>
      <c r="C7" s="385" t="s">
        <v>605</v>
      </c>
      <c r="D7" s="386">
        <v>43.28</v>
      </c>
    </row>
    <row r="8" spans="1:5" ht="25.5" customHeight="1">
      <c r="A8" s="80">
        <v>45839</v>
      </c>
      <c r="B8" s="383"/>
      <c r="C8" s="385"/>
      <c r="D8" s="386"/>
    </row>
    <row r="9" spans="1:5" ht="25.5" customHeight="1">
      <c r="A9" s="80">
        <v>45839</v>
      </c>
      <c r="B9" s="383"/>
      <c r="C9" s="407" t="s">
        <v>729</v>
      </c>
      <c r="D9" s="408">
        <f>SUM(D2:D7)</f>
        <v>247.03</v>
      </c>
    </row>
    <row r="10" spans="1:5" ht="25.5" customHeight="1">
      <c r="A10" s="51"/>
      <c r="B10" s="388"/>
      <c r="C10" s="389"/>
      <c r="D10" s="390"/>
    </row>
    <row r="11" spans="1:5" ht="25.5" customHeight="1">
      <c r="A11" s="80">
        <v>45870</v>
      </c>
      <c r="B11" s="383">
        <v>45870</v>
      </c>
      <c r="C11" s="385" t="s">
        <v>605</v>
      </c>
      <c r="D11" s="386">
        <v>30.02</v>
      </c>
    </row>
    <row r="12" spans="1:5" ht="25.5" customHeight="1">
      <c r="A12" s="80">
        <v>45870</v>
      </c>
      <c r="B12" s="383">
        <v>45874</v>
      </c>
      <c r="C12" s="385" t="s">
        <v>605</v>
      </c>
      <c r="D12" s="386">
        <v>68.92</v>
      </c>
    </row>
    <row r="13" spans="1:5" ht="25.5" customHeight="1">
      <c r="A13" s="80">
        <v>45870</v>
      </c>
      <c r="B13" s="383">
        <v>45875</v>
      </c>
      <c r="C13" s="385" t="s">
        <v>730</v>
      </c>
      <c r="D13" s="386">
        <v>80.92</v>
      </c>
    </row>
    <row r="14" spans="1:5" ht="25.5" customHeight="1">
      <c r="A14" s="80">
        <v>45870</v>
      </c>
      <c r="B14" s="383">
        <v>45877</v>
      </c>
      <c r="C14" s="385" t="s">
        <v>728</v>
      </c>
      <c r="D14" s="386">
        <v>20.02</v>
      </c>
    </row>
    <row r="15" spans="1:5" ht="25.5" customHeight="1">
      <c r="A15" s="80">
        <v>45870</v>
      </c>
      <c r="B15" s="383">
        <v>45883</v>
      </c>
      <c r="C15" s="385" t="s">
        <v>728</v>
      </c>
      <c r="D15" s="386">
        <v>10.74</v>
      </c>
    </row>
    <row r="16" spans="1:5" ht="25.5" customHeight="1">
      <c r="A16" s="80">
        <v>45870</v>
      </c>
      <c r="B16" s="383">
        <v>45890</v>
      </c>
      <c r="C16" s="385" t="s">
        <v>128</v>
      </c>
      <c r="D16" s="386">
        <v>51.27</v>
      </c>
    </row>
    <row r="17" spans="1:4" ht="25.5" customHeight="1">
      <c r="A17" s="80">
        <v>45870</v>
      </c>
      <c r="B17" s="383">
        <v>45894</v>
      </c>
      <c r="C17" s="385" t="s">
        <v>128</v>
      </c>
      <c r="D17" s="386">
        <v>77.45</v>
      </c>
    </row>
    <row r="18" spans="1:4" ht="25.5" customHeight="1">
      <c r="A18" s="80">
        <v>45870</v>
      </c>
      <c r="B18" s="383">
        <v>45899</v>
      </c>
      <c r="C18" s="385" t="s">
        <v>128</v>
      </c>
      <c r="D18" s="386">
        <v>70.400000000000006</v>
      </c>
    </row>
    <row r="19" spans="1:4" ht="25.5" customHeight="1">
      <c r="A19" s="80">
        <v>45870</v>
      </c>
      <c r="B19" s="383"/>
      <c r="C19" s="385"/>
      <c r="D19" s="386"/>
    </row>
    <row r="20" spans="1:4" ht="25.5" customHeight="1">
      <c r="A20" s="80">
        <v>45870</v>
      </c>
      <c r="B20" s="383"/>
      <c r="C20" s="407" t="s">
        <v>729</v>
      </c>
      <c r="D20" s="408">
        <f>SUM(D11:D18)</f>
        <v>409.74</v>
      </c>
    </row>
    <row r="21" spans="1:4" ht="25.5" customHeight="1">
      <c r="A21" s="51"/>
      <c r="B21" s="388"/>
      <c r="C21" s="389"/>
      <c r="D21" s="390"/>
    </row>
    <row r="22" spans="1:4" ht="25.5" customHeight="1">
      <c r="A22" s="81">
        <v>45901</v>
      </c>
      <c r="B22" s="383">
        <v>45904</v>
      </c>
      <c r="C22" s="385" t="s">
        <v>128</v>
      </c>
      <c r="D22" s="386">
        <v>71.44</v>
      </c>
    </row>
    <row r="23" spans="1:4" ht="25.5" customHeight="1">
      <c r="A23" s="81">
        <v>45901</v>
      </c>
      <c r="B23" s="383">
        <v>45908</v>
      </c>
      <c r="C23" s="385" t="s">
        <v>128</v>
      </c>
      <c r="D23" s="386">
        <v>71.900000000000006</v>
      </c>
    </row>
    <row r="24" spans="1:4" ht="25.5" customHeight="1">
      <c r="A24" s="81">
        <v>45901</v>
      </c>
      <c r="B24" s="383">
        <v>45912</v>
      </c>
      <c r="C24" s="385" t="s">
        <v>128</v>
      </c>
      <c r="D24" s="386">
        <v>40.07</v>
      </c>
    </row>
    <row r="25" spans="1:4" ht="25.5" customHeight="1">
      <c r="A25" s="81">
        <v>45901</v>
      </c>
      <c r="B25" s="383">
        <v>45913</v>
      </c>
      <c r="C25" s="385" t="s">
        <v>128</v>
      </c>
      <c r="D25" s="386">
        <v>20.010000000000002</v>
      </c>
    </row>
    <row r="26" spans="1:4" ht="25.5" customHeight="1">
      <c r="A26" s="81">
        <v>45901</v>
      </c>
      <c r="B26" s="383">
        <v>45914</v>
      </c>
      <c r="C26" s="385" t="s">
        <v>128</v>
      </c>
      <c r="D26" s="386">
        <v>75.12</v>
      </c>
    </row>
    <row r="27" spans="1:4" ht="25.5" customHeight="1">
      <c r="A27" s="81">
        <v>45901</v>
      </c>
      <c r="B27" s="383">
        <v>45919</v>
      </c>
      <c r="C27" s="385" t="s">
        <v>128</v>
      </c>
      <c r="D27" s="386">
        <v>73.28</v>
      </c>
    </row>
    <row r="28" spans="1:4" ht="25" customHeight="1">
      <c r="A28" s="81">
        <v>45901</v>
      </c>
      <c r="B28" s="383">
        <v>45926</v>
      </c>
      <c r="C28" s="385" t="s">
        <v>128</v>
      </c>
      <c r="D28" s="386">
        <v>10</v>
      </c>
    </row>
    <row r="29" spans="1:4" ht="25" customHeight="1">
      <c r="A29" s="81">
        <v>45901</v>
      </c>
      <c r="B29" s="383">
        <v>45926</v>
      </c>
      <c r="C29" s="385" t="s">
        <v>128</v>
      </c>
      <c r="D29" s="386">
        <v>73.19</v>
      </c>
    </row>
    <row r="30" spans="1:4" ht="25" customHeight="1">
      <c r="A30" s="81">
        <v>45901</v>
      </c>
      <c r="B30" s="383"/>
      <c r="C30" s="385"/>
      <c r="D30" s="386"/>
    </row>
    <row r="31" spans="1:4" ht="25" customHeight="1">
      <c r="A31" s="81">
        <v>45901</v>
      </c>
      <c r="B31" s="394"/>
      <c r="C31" s="407" t="s">
        <v>729</v>
      </c>
      <c r="D31" s="408">
        <f>SUM(D22:D29)</f>
        <v>435.00999999999993</v>
      </c>
    </row>
    <row r="32" spans="1:4" ht="25" customHeight="1">
      <c r="A32" s="51"/>
      <c r="B32" s="196"/>
      <c r="C32" s="51"/>
      <c r="D32" s="51"/>
    </row>
    <row r="33" spans="1:4" ht="25" customHeight="1">
      <c r="A33" s="81">
        <v>45931</v>
      </c>
      <c r="B33" s="383">
        <v>45932</v>
      </c>
      <c r="C33" s="5" t="s">
        <v>596</v>
      </c>
      <c r="D33" s="8">
        <v>67.790000000000006</v>
      </c>
    </row>
    <row r="34" spans="1:4" ht="25" customHeight="1">
      <c r="A34" s="81">
        <v>45931</v>
      </c>
      <c r="B34" s="383">
        <v>45938</v>
      </c>
      <c r="C34" s="5" t="s">
        <v>596</v>
      </c>
      <c r="D34" s="8">
        <v>75.67</v>
      </c>
    </row>
    <row r="35" spans="1:4" ht="25" customHeight="1">
      <c r="A35" s="81">
        <v>45931</v>
      </c>
      <c r="B35" s="383">
        <v>45942</v>
      </c>
      <c r="C35" s="5" t="s">
        <v>596</v>
      </c>
      <c r="D35" s="8">
        <v>74.67</v>
      </c>
    </row>
    <row r="36" spans="1:4" ht="25" customHeight="1">
      <c r="A36" s="81">
        <v>45931</v>
      </c>
      <c r="B36" s="383">
        <v>45948</v>
      </c>
      <c r="C36" s="5" t="s">
        <v>596</v>
      </c>
      <c r="D36" s="8">
        <v>79.41</v>
      </c>
    </row>
    <row r="37" spans="1:4" ht="25" customHeight="1">
      <c r="A37" s="81">
        <v>45931</v>
      </c>
      <c r="B37" s="383">
        <v>45953</v>
      </c>
      <c r="C37" s="5" t="s">
        <v>596</v>
      </c>
      <c r="D37" s="8">
        <v>72.959999999999994</v>
      </c>
    </row>
    <row r="38" spans="1:4" ht="25" customHeight="1">
      <c r="A38" s="81">
        <v>45931</v>
      </c>
      <c r="B38" s="383"/>
      <c r="C38" s="5"/>
      <c r="D38" s="8"/>
    </row>
    <row r="39" spans="1:4" ht="25" customHeight="1">
      <c r="A39" s="81">
        <v>45931</v>
      </c>
      <c r="B39" s="13"/>
      <c r="C39" s="407" t="s">
        <v>729</v>
      </c>
      <c r="D39" s="408">
        <f>SUM(D33:D37)</f>
        <v>370.49999999999994</v>
      </c>
    </row>
    <row r="40" spans="1:4" ht="25" customHeight="1">
      <c r="A40" s="51"/>
      <c r="B40" s="196"/>
      <c r="C40" s="51"/>
      <c r="D40" s="51"/>
    </row>
    <row r="41" spans="1:4" ht="25" customHeight="1">
      <c r="A41" s="81">
        <v>45962</v>
      </c>
      <c r="B41" s="383">
        <v>45977</v>
      </c>
      <c r="C41" s="385" t="s">
        <v>428</v>
      </c>
      <c r="D41" s="386">
        <v>45</v>
      </c>
    </row>
    <row r="42" spans="1:4" ht="25" customHeight="1">
      <c r="A42" s="81">
        <v>45962</v>
      </c>
      <c r="B42" s="383">
        <v>45975</v>
      </c>
      <c r="C42" s="385" t="s">
        <v>596</v>
      </c>
      <c r="D42" s="386">
        <v>74.010000000000005</v>
      </c>
    </row>
    <row r="43" spans="1:4" ht="25" customHeight="1">
      <c r="A43" s="81">
        <v>45962</v>
      </c>
      <c r="B43" s="383"/>
      <c r="C43" s="385" t="s">
        <v>605</v>
      </c>
      <c r="D43" s="386">
        <v>49.89</v>
      </c>
    </row>
    <row r="44" spans="1:4" ht="25" customHeight="1">
      <c r="A44" s="81">
        <v>45962</v>
      </c>
      <c r="B44" s="383">
        <v>45980</v>
      </c>
      <c r="C44" s="385" t="s">
        <v>596</v>
      </c>
      <c r="D44" s="386">
        <v>78.3</v>
      </c>
    </row>
    <row r="45" spans="1:4" ht="25" customHeight="1">
      <c r="A45" s="81">
        <v>45962</v>
      </c>
      <c r="B45" s="383">
        <v>45986</v>
      </c>
      <c r="C45" s="385" t="s">
        <v>596</v>
      </c>
      <c r="D45" s="386">
        <v>70.19</v>
      </c>
    </row>
    <row r="46" spans="1:4" ht="25" customHeight="1">
      <c r="A46" s="81">
        <v>45962</v>
      </c>
      <c r="B46" s="383">
        <v>45988</v>
      </c>
      <c r="C46" s="385" t="s">
        <v>596</v>
      </c>
      <c r="D46" s="386">
        <f>20.14+5.2</f>
        <v>25.34</v>
      </c>
    </row>
    <row r="47" spans="1:4" ht="25" customHeight="1">
      <c r="A47" s="81">
        <v>45962</v>
      </c>
      <c r="B47" s="383">
        <v>45991</v>
      </c>
      <c r="C47" s="385" t="s">
        <v>596</v>
      </c>
      <c r="D47" s="386">
        <v>80.040000000000006</v>
      </c>
    </row>
    <row r="48" spans="1:4" ht="25" customHeight="1">
      <c r="A48" s="81">
        <v>45962</v>
      </c>
      <c r="B48" s="383"/>
      <c r="C48" s="385"/>
      <c r="D48" s="386"/>
    </row>
    <row r="49" spans="1:4" ht="25" customHeight="1">
      <c r="A49" s="81">
        <v>45962</v>
      </c>
      <c r="B49" s="383"/>
      <c r="C49" s="407" t="s">
        <v>729</v>
      </c>
      <c r="D49" s="408">
        <f>SUM(D41:D47)</f>
        <v>422.77</v>
      </c>
    </row>
    <row r="50" spans="1:4" ht="25" customHeight="1">
      <c r="A50" s="126">
        <v>45962</v>
      </c>
      <c r="B50" s="196"/>
      <c r="C50" s="51"/>
      <c r="D50" s="51"/>
    </row>
    <row r="51" spans="1:4" ht="25" customHeight="1">
      <c r="A51" s="81">
        <v>45992</v>
      </c>
      <c r="B51" s="383">
        <v>45995</v>
      </c>
      <c r="C51" s="385" t="s">
        <v>596</v>
      </c>
      <c r="D51" s="386">
        <v>79.95</v>
      </c>
    </row>
    <row r="52" spans="1:4" ht="25" customHeight="1">
      <c r="A52" s="81">
        <v>45992</v>
      </c>
      <c r="B52" s="383">
        <v>45996</v>
      </c>
      <c r="C52" s="385" t="s">
        <v>596</v>
      </c>
      <c r="D52" s="386">
        <v>10.82</v>
      </c>
    </row>
    <row r="53" spans="1:4" ht="25" customHeight="1">
      <c r="A53" s="81">
        <v>45992</v>
      </c>
      <c r="B53" s="383">
        <v>46000</v>
      </c>
      <c r="C53" s="385" t="s">
        <v>596</v>
      </c>
      <c r="D53" s="386">
        <v>78.709999999999994</v>
      </c>
    </row>
    <row r="54" spans="1:4" ht="25" customHeight="1">
      <c r="A54" s="81">
        <v>45992</v>
      </c>
      <c r="B54" s="383">
        <v>46006</v>
      </c>
      <c r="C54" s="385" t="s">
        <v>596</v>
      </c>
      <c r="D54" s="386">
        <v>80.13</v>
      </c>
    </row>
    <row r="55" spans="1:4" ht="25" customHeight="1">
      <c r="A55" s="81">
        <v>45992</v>
      </c>
      <c r="B55" s="383"/>
      <c r="C55" s="385" t="s">
        <v>596</v>
      </c>
      <c r="D55" s="386">
        <v>81.63</v>
      </c>
    </row>
    <row r="56" spans="1:4" ht="25" customHeight="1">
      <c r="A56" s="81">
        <v>45992</v>
      </c>
      <c r="B56" s="383"/>
      <c r="C56" s="385"/>
      <c r="D56" s="386"/>
    </row>
    <row r="57" spans="1:4" ht="25" customHeight="1">
      <c r="A57" s="81">
        <v>45992</v>
      </c>
      <c r="B57" s="383"/>
      <c r="C57" s="407" t="s">
        <v>729</v>
      </c>
      <c r="D57" s="408">
        <f>SUM(D51:D55)</f>
        <v>331.24</v>
      </c>
    </row>
    <row r="58" spans="1:4" ht="25" customHeight="1">
      <c r="A58" s="126">
        <v>45992</v>
      </c>
      <c r="B58" s="196"/>
      <c r="C58" s="87"/>
      <c r="D58" s="87"/>
    </row>
    <row r="59" spans="1:4" ht="25" customHeight="1">
      <c r="A59" s="80">
        <v>46023</v>
      </c>
      <c r="B59" s="383">
        <v>46023</v>
      </c>
      <c r="C59" s="385" t="s">
        <v>596</v>
      </c>
      <c r="D59" s="386">
        <v>76.260000000000005</v>
      </c>
    </row>
    <row r="60" spans="1:4" ht="25" customHeight="1">
      <c r="A60" s="80">
        <v>46023</v>
      </c>
      <c r="B60" s="383">
        <v>46026</v>
      </c>
      <c r="D60" s="386">
        <v>18</v>
      </c>
    </row>
    <row r="61" spans="1:4" ht="25" customHeight="1">
      <c r="A61" s="80">
        <v>46023</v>
      </c>
      <c r="B61" s="383">
        <v>46029</v>
      </c>
      <c r="C61" s="385" t="s">
        <v>428</v>
      </c>
      <c r="D61" s="386">
        <v>35.35</v>
      </c>
    </row>
    <row r="62" spans="1:4" ht="25" customHeight="1">
      <c r="A62" s="80">
        <v>46023</v>
      </c>
      <c r="B62" s="383">
        <v>46028</v>
      </c>
      <c r="C62" s="385"/>
      <c r="D62" s="386">
        <v>19.600000000000001</v>
      </c>
    </row>
    <row r="63" spans="1:4" ht="25" customHeight="1">
      <c r="A63" s="80">
        <v>46023</v>
      </c>
      <c r="B63" s="383">
        <v>46029</v>
      </c>
      <c r="C63" s="385" t="s">
        <v>596</v>
      </c>
      <c r="D63" s="386">
        <v>75.8</v>
      </c>
    </row>
    <row r="64" spans="1:4" ht="25" customHeight="1">
      <c r="A64" s="80">
        <v>46023</v>
      </c>
      <c r="B64" s="383">
        <v>46029</v>
      </c>
      <c r="C64" s="385"/>
      <c r="D64" s="386">
        <v>3.23</v>
      </c>
    </row>
    <row r="65" spans="1:4" ht="25" customHeight="1">
      <c r="A65" s="80">
        <v>46023</v>
      </c>
      <c r="B65" s="383">
        <v>46033</v>
      </c>
      <c r="C65" s="385" t="s">
        <v>428</v>
      </c>
      <c r="D65" s="386">
        <v>24.5</v>
      </c>
    </row>
    <row r="66" spans="1:4" ht="25" customHeight="1">
      <c r="A66" s="80">
        <v>46023</v>
      </c>
      <c r="B66" s="383">
        <v>46033</v>
      </c>
      <c r="C66" s="385" t="s">
        <v>596</v>
      </c>
      <c r="D66" s="386">
        <v>69.28</v>
      </c>
    </row>
    <row r="67" spans="1:4" ht="25" customHeight="1">
      <c r="A67" s="80">
        <v>46023</v>
      </c>
      <c r="B67" s="383">
        <v>46039</v>
      </c>
      <c r="C67" s="385" t="s">
        <v>596</v>
      </c>
      <c r="D67" s="386">
        <v>75.92</v>
      </c>
    </row>
    <row r="68" spans="1:4" ht="25" customHeight="1">
      <c r="A68" s="80">
        <v>46023</v>
      </c>
      <c r="B68" s="383"/>
      <c r="C68" s="385" t="s">
        <v>596</v>
      </c>
      <c r="D68" s="386">
        <v>75.92</v>
      </c>
    </row>
    <row r="69" spans="1:4" ht="25" customHeight="1">
      <c r="A69" s="80">
        <v>46023</v>
      </c>
      <c r="B69" s="383">
        <v>46047</v>
      </c>
      <c r="C69" s="385" t="s">
        <v>596</v>
      </c>
      <c r="D69" s="386">
        <v>75.2</v>
      </c>
    </row>
    <row r="70" spans="1:4" ht="25" customHeight="1">
      <c r="A70" s="80">
        <v>46023</v>
      </c>
      <c r="B70" s="383"/>
      <c r="C70" s="385"/>
      <c r="D70" s="386">
        <v>6.26</v>
      </c>
    </row>
    <row r="71" spans="1:4" ht="25" customHeight="1">
      <c r="A71" s="80">
        <v>46023</v>
      </c>
      <c r="B71" s="383"/>
      <c r="C71" s="385"/>
      <c r="D71" s="409"/>
    </row>
    <row r="72" spans="1:4" ht="25" customHeight="1">
      <c r="A72" s="80">
        <v>46023</v>
      </c>
      <c r="B72" s="383"/>
      <c r="C72" s="407" t="s">
        <v>729</v>
      </c>
      <c r="D72" s="408">
        <f>SUM(D59:D68)</f>
        <v>473.86</v>
      </c>
    </row>
    <row r="73" spans="1:4" ht="25" customHeight="1">
      <c r="A73" s="145">
        <v>46023</v>
      </c>
      <c r="B73" s="388"/>
      <c r="C73" s="389"/>
      <c r="D73" s="390"/>
    </row>
    <row r="74" spans="1:4" ht="22" customHeight="1">
      <c r="A74" s="80">
        <v>46054</v>
      </c>
      <c r="B74" s="383">
        <v>46055</v>
      </c>
      <c r="C74" s="385" t="s">
        <v>596</v>
      </c>
      <c r="D74" s="386">
        <v>74.67</v>
      </c>
    </row>
    <row r="75" spans="1:4" ht="22" customHeight="1">
      <c r="A75" s="80">
        <v>46054</v>
      </c>
      <c r="B75" s="383">
        <v>46057</v>
      </c>
      <c r="C75" s="385"/>
      <c r="D75" s="386">
        <v>12.51</v>
      </c>
    </row>
    <row r="76" spans="1:4" ht="22" customHeight="1">
      <c r="A76" s="80">
        <v>46054</v>
      </c>
      <c r="B76" s="383">
        <v>46057</v>
      </c>
      <c r="C76" s="385" t="s">
        <v>596</v>
      </c>
      <c r="D76" s="386">
        <v>75.97</v>
      </c>
    </row>
    <row r="77" spans="1:4" ht="22" customHeight="1">
      <c r="A77" s="80">
        <v>46054</v>
      </c>
      <c r="B77" s="383">
        <v>46061</v>
      </c>
      <c r="C77" s="385"/>
      <c r="D77" s="386">
        <v>10.33</v>
      </c>
    </row>
    <row r="78" spans="1:4" ht="22" customHeight="1">
      <c r="A78" s="80">
        <v>46054</v>
      </c>
      <c r="B78" s="383">
        <v>46063</v>
      </c>
      <c r="C78" s="385" t="s">
        <v>596</v>
      </c>
      <c r="D78" s="386">
        <v>79.11</v>
      </c>
    </row>
    <row r="79" spans="1:4" ht="22" customHeight="1">
      <c r="A79" s="80">
        <v>46054</v>
      </c>
      <c r="B79" s="383">
        <v>46063</v>
      </c>
      <c r="C79" s="385"/>
      <c r="D79" s="386">
        <v>9.93</v>
      </c>
    </row>
    <row r="80" spans="1:4" ht="22" customHeight="1">
      <c r="A80" s="80">
        <v>46054</v>
      </c>
      <c r="B80" s="383">
        <v>46065</v>
      </c>
      <c r="C80" s="385" t="s">
        <v>596</v>
      </c>
      <c r="D80" s="386">
        <v>81.31</v>
      </c>
    </row>
    <row r="81" spans="1:5" ht="22" customHeight="1">
      <c r="A81" s="80">
        <v>46054</v>
      </c>
      <c r="B81" s="383">
        <v>46067</v>
      </c>
      <c r="C81" s="385" t="s">
        <v>596</v>
      </c>
      <c r="D81" s="386">
        <v>77.37</v>
      </c>
    </row>
    <row r="82" spans="1:5" ht="22" customHeight="1">
      <c r="A82" s="80">
        <v>46054</v>
      </c>
      <c r="B82" s="383">
        <v>46073</v>
      </c>
      <c r="C82" s="385" t="s">
        <v>596</v>
      </c>
      <c r="D82" s="386">
        <v>63.58</v>
      </c>
    </row>
    <row r="83" spans="1:5" ht="22" customHeight="1">
      <c r="A83" s="80">
        <v>46054</v>
      </c>
      <c r="B83" s="383">
        <v>46077</v>
      </c>
      <c r="C83" s="385" t="s">
        <v>596</v>
      </c>
      <c r="D83" s="386">
        <v>70</v>
      </c>
    </row>
    <row r="84" spans="1:5" ht="22" customHeight="1">
      <c r="A84" s="80">
        <v>46054</v>
      </c>
      <c r="B84" s="383"/>
      <c r="C84" s="385"/>
      <c r="D84" s="386">
        <v>10.16</v>
      </c>
    </row>
    <row r="85" spans="1:5" ht="22" customHeight="1">
      <c r="A85" s="80">
        <v>46054</v>
      </c>
      <c r="B85" s="383"/>
      <c r="C85" s="385"/>
      <c r="D85" s="386"/>
    </row>
    <row r="86" spans="1:5" ht="22" customHeight="1">
      <c r="A86" s="80">
        <v>46054</v>
      </c>
      <c r="B86" s="383"/>
      <c r="C86" s="407" t="s">
        <v>729</v>
      </c>
      <c r="D86" s="408">
        <f>SUM(D74:D84)</f>
        <v>564.93999999999994</v>
      </c>
    </row>
    <row r="87" spans="1:5" ht="22" customHeight="1">
      <c r="A87" s="231">
        <v>46054</v>
      </c>
      <c r="B87" s="388"/>
      <c r="C87" s="389"/>
      <c r="D87" s="390"/>
    </row>
    <row r="88" spans="1:5" ht="22" customHeight="1">
      <c r="A88" s="209">
        <v>46082</v>
      </c>
      <c r="B88" s="383"/>
      <c r="C88" s="385" t="s">
        <v>596</v>
      </c>
      <c r="D88" s="386">
        <v>9.5399999999999991</v>
      </c>
    </row>
    <row r="89" spans="1:5" ht="22" customHeight="1">
      <c r="A89" s="209">
        <v>46082</v>
      </c>
      <c r="B89" s="383"/>
      <c r="C89" s="385"/>
      <c r="D89" s="386">
        <v>20.28</v>
      </c>
      <c r="E89" t="s">
        <v>731</v>
      </c>
    </row>
    <row r="90" spans="1:5" ht="22" customHeight="1">
      <c r="A90" s="209">
        <v>46082</v>
      </c>
      <c r="B90" s="383"/>
      <c r="C90" s="385"/>
      <c r="D90" s="386">
        <v>60.54</v>
      </c>
      <c r="E90" t="s">
        <v>731</v>
      </c>
    </row>
    <row r="91" spans="1:5" ht="22" customHeight="1">
      <c r="A91" s="209">
        <v>46082</v>
      </c>
      <c r="B91" s="383"/>
      <c r="C91" s="385" t="s">
        <v>596</v>
      </c>
      <c r="D91" s="386">
        <v>17.91</v>
      </c>
    </row>
    <row r="92" spans="1:5" ht="22" customHeight="1">
      <c r="A92" s="209">
        <v>46082</v>
      </c>
      <c r="B92" s="383"/>
      <c r="C92" s="385" t="s">
        <v>596</v>
      </c>
      <c r="D92" s="386">
        <v>8.06</v>
      </c>
    </row>
    <row r="93" spans="1:5" ht="22" customHeight="1">
      <c r="A93" s="209">
        <v>46082</v>
      </c>
      <c r="B93" s="383"/>
      <c r="C93" s="385" t="s">
        <v>596</v>
      </c>
      <c r="D93" s="386">
        <v>87.89</v>
      </c>
    </row>
    <row r="94" spans="1:5" ht="22" customHeight="1">
      <c r="A94" s="209">
        <v>46082</v>
      </c>
      <c r="B94" s="383"/>
      <c r="C94" s="385" t="s">
        <v>596</v>
      </c>
      <c r="D94" s="386">
        <v>90.02</v>
      </c>
    </row>
    <row r="95" spans="1:5" ht="22" customHeight="1">
      <c r="A95" s="209">
        <v>46082</v>
      </c>
      <c r="B95" s="383"/>
      <c r="C95" s="385" t="s">
        <v>596</v>
      </c>
      <c r="D95" s="386">
        <v>77.64</v>
      </c>
    </row>
    <row r="96" spans="1:5" ht="22" customHeight="1">
      <c r="A96" s="209">
        <v>46082</v>
      </c>
      <c r="B96" s="383"/>
      <c r="C96" s="385"/>
      <c r="D96" s="386">
        <v>78.97</v>
      </c>
    </row>
    <row r="97" spans="1:4" ht="22" customHeight="1">
      <c r="A97" s="209">
        <v>46082</v>
      </c>
      <c r="B97" s="383"/>
      <c r="C97" s="385"/>
      <c r="D97" s="386">
        <v>95.56</v>
      </c>
    </row>
    <row r="98" spans="1:4" ht="22" customHeight="1">
      <c r="A98" s="209">
        <v>46082</v>
      </c>
      <c r="B98" s="383"/>
      <c r="C98" s="385"/>
      <c r="D98" s="386"/>
    </row>
    <row r="99" spans="1:4" ht="22" customHeight="1">
      <c r="A99" s="209">
        <v>46082</v>
      </c>
      <c r="B99" s="383"/>
      <c r="C99" s="407" t="s">
        <v>729</v>
      </c>
      <c r="D99" s="408">
        <f>SUM(D88:D97)</f>
        <v>546.41000000000008</v>
      </c>
    </row>
    <row r="100" spans="1:4" ht="24" customHeight="1">
      <c r="A100" s="51"/>
      <c r="B100" s="388"/>
      <c r="C100" s="389"/>
      <c r="D100" s="390"/>
    </row>
    <row r="101" spans="1:4" ht="22" customHeight="1">
      <c r="A101" s="209">
        <v>46113</v>
      </c>
      <c r="B101" s="383"/>
      <c r="C101" s="385"/>
      <c r="D101" s="386">
        <v>97.79</v>
      </c>
    </row>
    <row r="102" spans="1:4" ht="22" customHeight="1">
      <c r="A102" s="209">
        <v>46113</v>
      </c>
      <c r="B102" s="383"/>
      <c r="C102" s="385"/>
      <c r="D102" s="386"/>
    </row>
    <row r="103" spans="1:4" ht="22" customHeight="1">
      <c r="A103" s="209">
        <v>46113</v>
      </c>
      <c r="B103" s="383"/>
      <c r="C103" s="385"/>
      <c r="D103" s="386"/>
    </row>
    <row r="104" spans="1:4" ht="22" customHeight="1">
      <c r="A104" s="209">
        <v>46113</v>
      </c>
      <c r="B104" s="383"/>
      <c r="C104" s="385"/>
      <c r="D104" s="386"/>
    </row>
    <row r="105" spans="1:4" ht="22" customHeight="1">
      <c r="A105" s="209">
        <v>46113</v>
      </c>
      <c r="B105" s="383"/>
      <c r="C105" s="385"/>
      <c r="D105" s="386"/>
    </row>
    <row r="106" spans="1:4" ht="22" customHeight="1">
      <c r="A106" s="209">
        <v>46113</v>
      </c>
      <c r="B106" s="383"/>
      <c r="C106" s="385"/>
      <c r="D106" s="386"/>
    </row>
    <row r="107" spans="1:4" ht="22" customHeight="1">
      <c r="A107" s="209">
        <v>46113</v>
      </c>
      <c r="B107" s="383"/>
      <c r="C107" s="385"/>
      <c r="D107" s="386"/>
    </row>
    <row r="108" spans="1:4" ht="22" customHeight="1">
      <c r="A108" s="209">
        <v>46113</v>
      </c>
      <c r="B108" s="383"/>
      <c r="C108" s="385"/>
      <c r="D108" s="386"/>
    </row>
    <row r="109" spans="1:4" ht="22" customHeight="1">
      <c r="A109" s="209">
        <v>46113</v>
      </c>
      <c r="B109" s="383"/>
      <c r="C109" s="385"/>
      <c r="D109" s="386"/>
    </row>
    <row r="110" spans="1:4" ht="22" customHeight="1">
      <c r="A110" s="209">
        <v>46113</v>
      </c>
      <c r="B110" s="383"/>
      <c r="C110" s="385"/>
      <c r="D110" s="386"/>
    </row>
    <row r="111" spans="1:4" ht="22" customHeight="1">
      <c r="A111" s="209">
        <v>46113</v>
      </c>
      <c r="B111" s="383"/>
      <c r="C111" s="407" t="s">
        <v>729</v>
      </c>
      <c r="D111" s="408">
        <f>SUM(D101:D109)</f>
        <v>97.79</v>
      </c>
    </row>
    <row r="112" spans="1:4" ht="22" customHeight="1">
      <c r="A112" s="51"/>
      <c r="B112" s="388"/>
      <c r="C112" s="389"/>
      <c r="D112" s="390"/>
    </row>
    <row r="113" spans="1:4" ht="22" customHeight="1">
      <c r="A113" s="50"/>
      <c r="B113" s="383"/>
      <c r="C113" s="385"/>
      <c r="D113" s="386"/>
    </row>
    <row r="114" spans="1:4" ht="22" customHeight="1">
      <c r="A114" s="50"/>
      <c r="B114" s="383"/>
      <c r="C114" s="385"/>
      <c r="D114" s="386"/>
    </row>
    <row r="115" spans="1:4" ht="22" customHeight="1">
      <c r="A115" s="50"/>
      <c r="B115" s="383"/>
      <c r="C115" s="385"/>
      <c r="D115" s="386"/>
    </row>
    <row r="116" spans="1:4" ht="22" customHeight="1">
      <c r="A116" s="50"/>
      <c r="B116" s="383"/>
      <c r="C116" s="385"/>
      <c r="D116" s="386"/>
    </row>
    <row r="117" spans="1:4" ht="22" customHeight="1">
      <c r="A117" s="50"/>
      <c r="B117" s="383"/>
      <c r="C117" s="385"/>
      <c r="D117" s="386"/>
    </row>
    <row r="118" spans="1:4" ht="22" customHeight="1">
      <c r="A118" s="50"/>
      <c r="B118" s="383"/>
      <c r="C118" s="385"/>
      <c r="D118" s="386"/>
    </row>
    <row r="119" spans="1:4" ht="22" customHeight="1">
      <c r="A119" s="50"/>
      <c r="B119" s="383"/>
      <c r="C119" s="385"/>
      <c r="D119" s="386"/>
    </row>
    <row r="120" spans="1:4" ht="22" customHeight="1">
      <c r="A120" s="50"/>
      <c r="B120" s="383"/>
      <c r="C120" s="385"/>
      <c r="D120" s="386"/>
    </row>
    <row r="121" spans="1:4" ht="22" customHeight="1">
      <c r="A121" s="50"/>
      <c r="B121" s="383"/>
      <c r="C121" s="385"/>
      <c r="D121" s="386"/>
    </row>
    <row r="122" spans="1:4" ht="22" customHeight="1">
      <c r="A122" s="50"/>
      <c r="B122" s="383"/>
      <c r="C122" s="385"/>
      <c r="D122" s="386"/>
    </row>
    <row r="123" spans="1:4" ht="22" customHeight="1">
      <c r="A123" s="50"/>
      <c r="B123" s="383"/>
      <c r="C123" s="385"/>
      <c r="D123" s="386"/>
    </row>
    <row r="124" spans="1:4" ht="22" customHeight="1">
      <c r="A124" s="50"/>
      <c r="B124" s="383"/>
      <c r="C124" s="385"/>
      <c r="D124" s="386"/>
    </row>
    <row r="125" spans="1:4" ht="22" customHeight="1">
      <c r="A125" s="50"/>
      <c r="B125" s="383"/>
      <c r="C125" s="385"/>
      <c r="D125" s="386"/>
    </row>
    <row r="126" spans="1:4" ht="22" customHeight="1">
      <c r="A126" s="50"/>
      <c r="B126" s="383"/>
      <c r="C126" s="385"/>
      <c r="D126" s="386"/>
    </row>
    <row r="127" spans="1:4" ht="22" customHeight="1">
      <c r="A127" s="410"/>
      <c r="B127" s="411"/>
      <c r="C127" s="410"/>
      <c r="D127" s="412"/>
    </row>
    <row r="128" spans="1:4" ht="22" customHeight="1">
      <c r="A128" s="410"/>
      <c r="B128" s="411"/>
      <c r="C128" s="410"/>
      <c r="D128" s="412"/>
    </row>
    <row r="129" spans="1:4" ht="22" customHeight="1">
      <c r="A129" s="410"/>
      <c r="B129" s="411"/>
      <c r="C129" s="410"/>
      <c r="D129" s="412"/>
    </row>
    <row r="130" spans="1:4" ht="22" customHeight="1">
      <c r="A130" s="410"/>
      <c r="B130" s="411"/>
      <c r="C130" s="410"/>
      <c r="D130" s="412"/>
    </row>
    <row r="131" spans="1:4" ht="22" customHeight="1">
      <c r="A131" s="410"/>
      <c r="B131" s="411"/>
      <c r="C131" s="410"/>
      <c r="D131" s="412"/>
    </row>
    <row r="132" spans="1:4" ht="22" customHeight="1">
      <c r="A132" s="410"/>
      <c r="B132" s="411"/>
      <c r="C132" s="410"/>
      <c r="D132" s="412"/>
    </row>
    <row r="133" spans="1:4" ht="22" customHeight="1">
      <c r="A133" s="410"/>
      <c r="B133" s="411"/>
      <c r="C133" s="410"/>
      <c r="D133" s="412"/>
    </row>
    <row r="134" spans="1:4" ht="22" customHeight="1">
      <c r="A134" s="410"/>
      <c r="B134" s="411"/>
      <c r="C134" s="410"/>
      <c r="D134" s="412"/>
    </row>
    <row r="135" spans="1:4" ht="22" customHeight="1">
      <c r="A135" s="410"/>
      <c r="B135" s="411"/>
      <c r="C135" s="410"/>
      <c r="D135" s="412"/>
    </row>
    <row r="136" spans="1:4" ht="22" customHeight="1">
      <c r="A136" s="410"/>
      <c r="B136" s="411"/>
      <c r="C136" s="410"/>
      <c r="D136" s="412"/>
    </row>
    <row r="137" spans="1:4" ht="22" customHeight="1">
      <c r="A137" s="410"/>
      <c r="B137" s="411"/>
      <c r="C137" s="410"/>
      <c r="D137" s="412"/>
    </row>
    <row r="138" spans="1:4" ht="22" customHeight="1">
      <c r="A138" s="410"/>
      <c r="B138" s="411"/>
      <c r="C138" s="410"/>
      <c r="D138" s="412"/>
    </row>
    <row r="139" spans="1:4" ht="22" customHeight="1">
      <c r="A139" s="410"/>
      <c r="B139" s="411"/>
      <c r="C139" s="410"/>
      <c r="D139" s="412"/>
    </row>
    <row r="140" spans="1:4" ht="22" customHeight="1">
      <c r="A140" s="410"/>
      <c r="B140" s="411"/>
      <c r="C140" s="410"/>
      <c r="D140" s="412"/>
    </row>
    <row r="141" spans="1:4" ht="22" customHeight="1">
      <c r="A141" s="410"/>
      <c r="B141" s="411"/>
      <c r="C141" s="410"/>
      <c r="D141" s="412"/>
    </row>
    <row r="142" spans="1:4" ht="22" customHeight="1">
      <c r="A142" s="410"/>
      <c r="B142" s="411"/>
      <c r="C142" s="410"/>
      <c r="D142" s="412"/>
    </row>
    <row r="143" spans="1:4" ht="22" customHeight="1">
      <c r="A143" s="410"/>
      <c r="B143" s="411"/>
      <c r="C143" s="410"/>
      <c r="D143" s="412"/>
    </row>
    <row r="144" spans="1:4" ht="22" customHeight="1">
      <c r="A144" s="410"/>
      <c r="B144" s="411"/>
      <c r="C144" s="410"/>
      <c r="D144" s="412"/>
    </row>
    <row r="145" spans="1:4" ht="22" customHeight="1">
      <c r="A145" s="410"/>
      <c r="B145" s="411"/>
      <c r="C145" s="410"/>
      <c r="D145" s="412"/>
    </row>
    <row r="146" spans="1:4" ht="22" customHeight="1">
      <c r="A146" s="410"/>
      <c r="B146" s="411"/>
      <c r="C146" s="410"/>
      <c r="D146" s="412"/>
    </row>
    <row r="147" spans="1:4" ht="22" customHeight="1">
      <c r="A147" s="410"/>
      <c r="B147" s="411"/>
      <c r="C147" s="410"/>
      <c r="D147" s="412"/>
    </row>
    <row r="148" spans="1:4" ht="22" customHeight="1">
      <c r="A148" s="410"/>
      <c r="B148" s="411"/>
      <c r="C148" s="410"/>
      <c r="D148" s="412"/>
    </row>
    <row r="149" spans="1:4" ht="22" customHeight="1">
      <c r="A149" s="410"/>
      <c r="B149" s="411"/>
      <c r="C149" s="410"/>
      <c r="D149" s="412"/>
    </row>
    <row r="150" spans="1:4" ht="22" customHeight="1">
      <c r="A150" s="410"/>
      <c r="B150" s="411"/>
      <c r="C150" s="410"/>
      <c r="D150" s="412"/>
    </row>
    <row r="151" spans="1:4" ht="22" customHeight="1">
      <c r="A151" s="410"/>
      <c r="B151" s="411"/>
      <c r="C151" s="410"/>
      <c r="D151" s="412"/>
    </row>
    <row r="152" spans="1:4" ht="22" customHeight="1">
      <c r="A152" s="410"/>
      <c r="B152" s="411"/>
      <c r="C152" s="410"/>
      <c r="D152" s="412"/>
    </row>
    <row r="153" spans="1:4" ht="22" customHeight="1">
      <c r="A153" s="410"/>
      <c r="B153" s="411"/>
      <c r="C153" s="410"/>
      <c r="D153" s="412"/>
    </row>
    <row r="154" spans="1:4" ht="22" customHeight="1">
      <c r="A154" s="410"/>
      <c r="B154" s="411"/>
      <c r="C154" s="410"/>
      <c r="D154" s="412"/>
    </row>
    <row r="155" spans="1:4" ht="22" customHeight="1">
      <c r="A155" s="410"/>
      <c r="B155" s="411"/>
      <c r="C155" s="410"/>
      <c r="D155" s="412"/>
    </row>
    <row r="156" spans="1:4" ht="22" customHeight="1">
      <c r="A156" s="410"/>
      <c r="B156" s="411"/>
      <c r="C156" s="410"/>
      <c r="D156" s="412"/>
    </row>
    <row r="157" spans="1:4" ht="22" customHeight="1">
      <c r="A157" s="410"/>
      <c r="B157" s="411"/>
      <c r="C157" s="410"/>
      <c r="D157" s="412"/>
    </row>
    <row r="158" spans="1:4" ht="22" customHeight="1">
      <c r="A158" s="410"/>
      <c r="B158" s="411"/>
      <c r="C158" s="410"/>
      <c r="D158" s="412"/>
    </row>
    <row r="159" spans="1:4" ht="22" customHeight="1">
      <c r="A159" s="410"/>
      <c r="B159" s="411"/>
      <c r="C159" s="410"/>
      <c r="D159" s="412"/>
    </row>
    <row r="160" spans="1:4" ht="22" customHeight="1">
      <c r="A160" s="410"/>
      <c r="B160" s="411"/>
      <c r="C160" s="410"/>
      <c r="D160" s="412"/>
    </row>
    <row r="161" spans="1:4" ht="22" customHeight="1">
      <c r="A161" s="410"/>
      <c r="B161" s="411"/>
      <c r="C161" s="410"/>
      <c r="D161" s="412"/>
    </row>
    <row r="162" spans="1:4" ht="22" customHeight="1">
      <c r="A162" s="410"/>
      <c r="B162" s="411"/>
      <c r="C162" s="410"/>
      <c r="D162" s="412"/>
    </row>
    <row r="163" spans="1:4" ht="22" customHeight="1">
      <c r="A163" s="410"/>
      <c r="B163" s="411"/>
      <c r="C163" s="410"/>
      <c r="D163" s="412"/>
    </row>
    <row r="164" spans="1:4" ht="22" customHeight="1">
      <c r="A164" s="410"/>
      <c r="B164" s="411"/>
      <c r="C164" s="410"/>
      <c r="D164" s="412"/>
    </row>
    <row r="165" spans="1:4" ht="22" customHeight="1">
      <c r="A165" s="410"/>
      <c r="B165" s="411"/>
      <c r="C165" s="410"/>
      <c r="D165" s="412"/>
    </row>
    <row r="166" spans="1:4" ht="22" customHeight="1">
      <c r="A166" s="410"/>
      <c r="B166" s="411"/>
      <c r="C166" s="410"/>
      <c r="D166" s="412"/>
    </row>
    <row r="167" spans="1:4" ht="22" customHeight="1">
      <c r="A167" s="410"/>
      <c r="B167" s="411"/>
      <c r="C167" s="410"/>
      <c r="D167" s="412"/>
    </row>
    <row r="168" spans="1:4" ht="22" customHeight="1">
      <c r="A168" s="410"/>
      <c r="B168" s="411"/>
      <c r="C168" s="410"/>
      <c r="D168" s="412"/>
    </row>
    <row r="169" spans="1:4" ht="22" customHeight="1">
      <c r="A169" s="410"/>
      <c r="B169" s="411"/>
      <c r="C169" s="410"/>
      <c r="D169" s="412"/>
    </row>
    <row r="170" spans="1:4" ht="22" customHeight="1">
      <c r="A170" s="410"/>
      <c r="B170" s="411"/>
      <c r="C170" s="410"/>
      <c r="D170" s="412"/>
    </row>
    <row r="171" spans="1:4" ht="22" customHeight="1">
      <c r="A171" s="410"/>
      <c r="B171" s="411"/>
      <c r="C171" s="410"/>
      <c r="D171" s="412"/>
    </row>
    <row r="172" spans="1:4" ht="22" customHeight="1">
      <c r="A172" s="410"/>
      <c r="B172" s="411"/>
      <c r="C172" s="410"/>
      <c r="D172" s="412"/>
    </row>
    <row r="173" spans="1:4" ht="22" customHeight="1">
      <c r="A173" s="410"/>
      <c r="B173" s="411"/>
      <c r="C173" s="410"/>
      <c r="D173" s="412"/>
    </row>
    <row r="174" spans="1:4" ht="22" customHeight="1">
      <c r="A174" s="410"/>
      <c r="B174" s="411"/>
      <c r="C174" s="410"/>
      <c r="D174" s="412"/>
    </row>
    <row r="175" spans="1:4" ht="22" customHeight="1">
      <c r="A175" s="410"/>
      <c r="B175" s="411"/>
      <c r="C175" s="410"/>
      <c r="D175" s="412"/>
    </row>
    <row r="176" spans="1:4" ht="22" customHeight="1">
      <c r="A176" s="410"/>
      <c r="B176" s="411"/>
      <c r="C176" s="410"/>
      <c r="D176" s="412"/>
    </row>
    <row r="177" spans="1:4" ht="22" customHeight="1">
      <c r="A177" s="410"/>
      <c r="B177" s="411"/>
      <c r="C177" s="410"/>
      <c r="D177" s="412"/>
    </row>
    <row r="178" spans="1:4" ht="22" customHeight="1">
      <c r="A178" s="410"/>
      <c r="B178" s="411"/>
      <c r="C178" s="410"/>
      <c r="D178" s="412"/>
    </row>
    <row r="179" spans="1:4" ht="22" customHeight="1">
      <c r="A179" s="410"/>
      <c r="B179" s="411"/>
      <c r="C179" s="410"/>
      <c r="D179" s="412"/>
    </row>
    <row r="180" spans="1:4" ht="22" customHeight="1">
      <c r="A180" s="410"/>
      <c r="B180" s="411"/>
      <c r="C180" s="410"/>
      <c r="D180" s="412"/>
    </row>
    <row r="181" spans="1:4" ht="22" customHeight="1">
      <c r="A181" s="410"/>
      <c r="B181" s="411"/>
      <c r="C181" s="410"/>
      <c r="D181" s="412"/>
    </row>
    <row r="182" spans="1:4" ht="22" customHeight="1">
      <c r="A182" s="410"/>
      <c r="B182" s="411"/>
      <c r="C182" s="410"/>
      <c r="D182" s="412"/>
    </row>
    <row r="183" spans="1:4" ht="22" customHeight="1">
      <c r="A183" s="410"/>
      <c r="B183" s="411"/>
      <c r="C183" s="410"/>
      <c r="D183" s="412"/>
    </row>
    <row r="184" spans="1:4" ht="22" customHeight="1">
      <c r="A184" s="410"/>
      <c r="B184" s="411"/>
      <c r="C184" s="410"/>
      <c r="D184" s="412"/>
    </row>
    <row r="185" spans="1:4" ht="22" customHeight="1">
      <c r="B185" s="197"/>
      <c r="D185" s="61"/>
    </row>
    <row r="186" spans="1:4" ht="22" customHeight="1">
      <c r="B186" s="197"/>
      <c r="D186" s="61"/>
    </row>
    <row r="187" spans="1:4" ht="22" customHeight="1">
      <c r="B187" s="197"/>
      <c r="D187" s="61"/>
    </row>
    <row r="188" spans="1:4" ht="22" customHeight="1">
      <c r="B188" s="197"/>
      <c r="D188" s="61"/>
    </row>
    <row r="189" spans="1:4" ht="22" customHeight="1">
      <c r="B189" s="197"/>
      <c r="D189" s="61"/>
    </row>
    <row r="190" spans="1:4" ht="22" customHeight="1">
      <c r="B190" s="197"/>
      <c r="D190" s="61"/>
    </row>
    <row r="191" spans="1:4" ht="22" customHeight="1">
      <c r="B191" s="197"/>
      <c r="D191" s="61"/>
    </row>
    <row r="192" spans="1:4" ht="22" customHeight="1">
      <c r="B192" s="197"/>
      <c r="D192" s="61"/>
    </row>
    <row r="193" spans="2:4" ht="22" customHeight="1">
      <c r="B193" s="197"/>
      <c r="D193" s="61"/>
    </row>
    <row r="194" spans="2:4" ht="22" customHeight="1">
      <c r="B194" s="197"/>
      <c r="D194" s="61"/>
    </row>
    <row r="195" spans="2:4" ht="22" customHeight="1">
      <c r="B195" s="197"/>
      <c r="D195" s="61"/>
    </row>
    <row r="196" spans="2:4" ht="22" customHeight="1">
      <c r="B196" s="197"/>
      <c r="D196" s="61"/>
    </row>
    <row r="197" spans="2:4" ht="22" customHeight="1">
      <c r="B197" s="197"/>
      <c r="D197" s="61"/>
    </row>
    <row r="198" spans="2:4" ht="22" customHeight="1">
      <c r="B198" s="197"/>
      <c r="D198" s="61"/>
    </row>
    <row r="199" spans="2:4" ht="22" customHeight="1">
      <c r="B199" s="197"/>
      <c r="D199" s="61"/>
    </row>
    <row r="200" spans="2:4" ht="22" customHeight="1">
      <c r="B200" s="197"/>
      <c r="D200" s="61"/>
    </row>
    <row r="201" spans="2:4" ht="22" customHeight="1">
      <c r="B201" s="197"/>
      <c r="D201" s="61"/>
    </row>
    <row r="202" spans="2:4" ht="22" customHeight="1">
      <c r="B202" s="197"/>
      <c r="D202" s="61"/>
    </row>
    <row r="203" spans="2:4" ht="22" customHeight="1">
      <c r="B203" s="197"/>
      <c r="D203" s="61"/>
    </row>
    <row r="204" spans="2:4" ht="22" customHeight="1">
      <c r="B204" s="197"/>
      <c r="D204" s="61"/>
    </row>
    <row r="205" spans="2:4" ht="22" customHeight="1">
      <c r="B205" s="197"/>
      <c r="D205" s="61"/>
    </row>
    <row r="206" spans="2:4" ht="22" customHeight="1">
      <c r="B206" s="197"/>
      <c r="D206" s="61"/>
    </row>
    <row r="207" spans="2:4" ht="22" customHeight="1">
      <c r="B207" s="197"/>
      <c r="D207" s="61"/>
    </row>
    <row r="208" spans="2:4" ht="22" customHeight="1">
      <c r="B208" s="197"/>
      <c r="D208" s="61"/>
    </row>
    <row r="209" spans="2:4" ht="22" customHeight="1">
      <c r="B209" s="197"/>
      <c r="D209" s="61"/>
    </row>
    <row r="210" spans="2:4" ht="22" customHeight="1">
      <c r="B210" s="197"/>
      <c r="D210" s="61"/>
    </row>
    <row r="211" spans="2:4" ht="22" customHeight="1">
      <c r="B211" s="197"/>
      <c r="D211" s="61"/>
    </row>
    <row r="212" spans="2:4" ht="22" customHeight="1">
      <c r="B212" s="197"/>
      <c r="D212" s="61"/>
    </row>
    <row r="213" spans="2:4" ht="22" customHeight="1">
      <c r="B213" s="197"/>
      <c r="D213" s="61"/>
    </row>
    <row r="214" spans="2:4" ht="22" customHeight="1">
      <c r="B214" s="197"/>
      <c r="D214" s="61"/>
    </row>
    <row r="215" spans="2:4" ht="22" customHeight="1">
      <c r="B215" s="197"/>
      <c r="D215" s="61"/>
    </row>
    <row r="216" spans="2:4" ht="22" customHeight="1">
      <c r="B216" s="197"/>
      <c r="D216" s="61"/>
    </row>
    <row r="217" spans="2:4" ht="22" customHeight="1">
      <c r="B217" s="197"/>
      <c r="D217" s="61"/>
    </row>
    <row r="218" spans="2:4" ht="22" customHeight="1">
      <c r="B218" s="197"/>
      <c r="D218" s="61"/>
    </row>
    <row r="219" spans="2:4" ht="22" customHeight="1">
      <c r="B219" s="197"/>
      <c r="D219" s="61"/>
    </row>
    <row r="220" spans="2:4" ht="22" customHeight="1">
      <c r="B220" s="197"/>
      <c r="D220" s="61"/>
    </row>
    <row r="221" spans="2:4" ht="22" customHeight="1">
      <c r="B221" s="197"/>
      <c r="D221" s="61"/>
    </row>
    <row r="222" spans="2:4" ht="22" customHeight="1">
      <c r="B222" s="197"/>
      <c r="D222" s="61"/>
    </row>
    <row r="223" spans="2:4" ht="22" customHeight="1">
      <c r="B223" s="197"/>
      <c r="D223" s="61"/>
    </row>
    <row r="224" spans="2:4" ht="22" customHeight="1">
      <c r="B224" s="197"/>
      <c r="D224" s="61"/>
    </row>
    <row r="225" spans="2:4" ht="22" customHeight="1">
      <c r="B225" s="197"/>
      <c r="D225" s="61"/>
    </row>
    <row r="226" spans="2:4" ht="22" customHeight="1">
      <c r="B226" s="197"/>
      <c r="D226" s="61"/>
    </row>
    <row r="227" spans="2:4" ht="22" customHeight="1">
      <c r="B227" s="197"/>
      <c r="D227" s="61"/>
    </row>
    <row r="228" spans="2:4" ht="22" customHeight="1">
      <c r="B228" s="197"/>
      <c r="D228" s="61"/>
    </row>
    <row r="229" spans="2:4" ht="22" customHeight="1">
      <c r="B229" s="197"/>
      <c r="D229" s="61"/>
    </row>
    <row r="230" spans="2:4" ht="22" customHeight="1">
      <c r="B230" s="197"/>
      <c r="D230" s="61"/>
    </row>
    <row r="231" spans="2:4" ht="22" customHeight="1">
      <c r="B231" s="197"/>
      <c r="D231" s="61"/>
    </row>
    <row r="232" spans="2:4" ht="22" customHeight="1">
      <c r="B232" s="197"/>
      <c r="D232" s="61"/>
    </row>
    <row r="233" spans="2:4" ht="22" customHeight="1">
      <c r="B233" s="197"/>
      <c r="D233" s="61"/>
    </row>
    <row r="234" spans="2:4" ht="22" customHeight="1">
      <c r="B234" s="197"/>
      <c r="D234" s="61"/>
    </row>
    <row r="235" spans="2:4" ht="22" customHeight="1">
      <c r="B235" s="197"/>
      <c r="D235" s="61"/>
    </row>
    <row r="236" spans="2:4" ht="22" customHeight="1">
      <c r="B236" s="197"/>
      <c r="D236" s="61"/>
    </row>
    <row r="237" spans="2:4" ht="22" customHeight="1">
      <c r="B237" s="197"/>
      <c r="D237" s="61"/>
    </row>
    <row r="238" spans="2:4" ht="22" customHeight="1">
      <c r="B238" s="197"/>
      <c r="D238" s="61"/>
    </row>
    <row r="239" spans="2:4" ht="22" customHeight="1">
      <c r="B239" s="197"/>
      <c r="D239" s="61"/>
    </row>
    <row r="240" spans="2:4" ht="22" customHeight="1">
      <c r="B240" s="197"/>
      <c r="D240" s="61"/>
    </row>
    <row r="241" spans="2:4" ht="22" customHeight="1">
      <c r="B241" s="197"/>
      <c r="D241" s="61"/>
    </row>
    <row r="242" spans="2:4" ht="22" customHeight="1">
      <c r="B242" s="197"/>
      <c r="D242" s="61"/>
    </row>
    <row r="243" spans="2:4" ht="22" customHeight="1">
      <c r="B243" s="197"/>
      <c r="D243" s="61"/>
    </row>
    <row r="244" spans="2:4" ht="22" customHeight="1">
      <c r="B244" s="197"/>
      <c r="D244" s="61"/>
    </row>
    <row r="245" spans="2:4" ht="22" customHeight="1">
      <c r="B245" s="197"/>
      <c r="D245" s="61"/>
    </row>
    <row r="246" spans="2:4" ht="22" customHeight="1">
      <c r="B246" s="197"/>
      <c r="D246" s="61"/>
    </row>
    <row r="247" spans="2:4" ht="22" customHeight="1">
      <c r="B247" s="197"/>
      <c r="D247" s="61"/>
    </row>
    <row r="248" spans="2:4" ht="22" customHeight="1">
      <c r="B248" s="197"/>
      <c r="D248" s="61"/>
    </row>
    <row r="249" spans="2:4" ht="22" customHeight="1">
      <c r="B249" s="197"/>
      <c r="D249" s="61"/>
    </row>
    <row r="250" spans="2:4" ht="22" customHeight="1">
      <c r="B250" s="197"/>
      <c r="D250" s="61"/>
    </row>
    <row r="251" spans="2:4" ht="22" customHeight="1"/>
    <row r="252" spans="2:4" ht="22" customHeight="1"/>
    <row r="253" spans="2:4" ht="22" customHeight="1"/>
    <row r="254" spans="2:4" ht="22" customHeight="1"/>
    <row r="255" spans="2:4" ht="22" customHeight="1"/>
    <row r="256" spans="2:4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F40"/>
  <sheetViews>
    <sheetView topLeftCell="A20" zoomScale="114" workbookViewId="0">
      <selection activeCell="D32" sqref="D32"/>
    </sheetView>
  </sheetViews>
  <sheetFormatPr baseColWidth="10" defaultColWidth="8.83203125" defaultRowHeight="15"/>
  <cols>
    <col min="1" max="1" width="22.1640625" customWidth="1"/>
    <col min="2" max="2" width="24.83203125" style="45" bestFit="1" customWidth="1"/>
    <col min="3" max="3" width="20.33203125" customWidth="1"/>
    <col min="4" max="5" width="22.1640625" customWidth="1"/>
    <col min="6" max="6" width="34.33203125" customWidth="1"/>
  </cols>
  <sheetData>
    <row r="1" spans="1:6" ht="28" customHeight="1">
      <c r="A1" s="48" t="s">
        <v>0</v>
      </c>
      <c r="B1" s="47" t="s">
        <v>437</v>
      </c>
      <c r="C1" s="48" t="s">
        <v>466</v>
      </c>
      <c r="D1" s="48" t="s">
        <v>468</v>
      </c>
      <c r="E1" s="48" t="s">
        <v>440</v>
      </c>
      <c r="F1" s="49" t="s">
        <v>13</v>
      </c>
    </row>
    <row r="2" spans="1:6" ht="24.75" customHeight="1">
      <c r="A2" s="80">
        <v>45962</v>
      </c>
      <c r="B2" s="383">
        <v>45975</v>
      </c>
      <c r="C2" s="385" t="s">
        <v>732</v>
      </c>
      <c r="D2" s="386">
        <v>200</v>
      </c>
      <c r="E2" s="385" t="s">
        <v>733</v>
      </c>
      <c r="F2" s="392" t="s">
        <v>734</v>
      </c>
    </row>
    <row r="3" spans="1:6" ht="24.75" customHeight="1">
      <c r="A3" s="80">
        <v>45962</v>
      </c>
      <c r="B3" s="383">
        <v>45988</v>
      </c>
      <c r="C3" s="385" t="s">
        <v>735</v>
      </c>
      <c r="D3" s="386">
        <v>164.32</v>
      </c>
      <c r="E3" s="385" t="s">
        <v>127</v>
      </c>
      <c r="F3" s="413" t="s">
        <v>736</v>
      </c>
    </row>
    <row r="4" spans="1:6" ht="24.75" customHeight="1">
      <c r="A4" s="81">
        <v>45962</v>
      </c>
      <c r="B4" s="383"/>
      <c r="C4" s="385"/>
      <c r="D4" s="386"/>
      <c r="E4" s="385"/>
      <c r="F4" s="413"/>
    </row>
    <row r="5" spans="1:6" ht="24.75" customHeight="1">
      <c r="A5" s="81">
        <v>45962</v>
      </c>
      <c r="B5" s="383"/>
      <c r="C5" s="407" t="s">
        <v>737</v>
      </c>
      <c r="D5" s="408">
        <f>SUM(D2:D3)</f>
        <v>364.32</v>
      </c>
      <c r="E5" s="385"/>
      <c r="F5" s="392"/>
    </row>
    <row r="6" spans="1:6" ht="24.75" customHeight="1">
      <c r="A6" s="126">
        <v>45962</v>
      </c>
      <c r="B6" s="196"/>
      <c r="C6" s="51"/>
      <c r="D6" s="51"/>
      <c r="E6" s="51"/>
      <c r="F6" s="138"/>
    </row>
    <row r="7" spans="1:6" ht="24.75" customHeight="1">
      <c r="A7" s="80">
        <v>45992</v>
      </c>
      <c r="B7" s="383"/>
      <c r="C7" s="386" t="s">
        <v>738</v>
      </c>
      <c r="D7" s="386">
        <v>395</v>
      </c>
      <c r="E7" s="385"/>
      <c r="F7" s="392" t="s">
        <v>739</v>
      </c>
    </row>
    <row r="8" spans="1:6" ht="24.75" customHeight="1">
      <c r="A8" s="80">
        <v>46011</v>
      </c>
      <c r="B8" s="383">
        <v>46011</v>
      </c>
      <c r="C8" s="386" t="s">
        <v>740</v>
      </c>
      <c r="D8" s="386">
        <f>300-31.72</f>
        <v>268.27999999999997</v>
      </c>
      <c r="E8" s="385"/>
      <c r="F8" s="392"/>
    </row>
    <row r="9" spans="1:6" ht="25" customHeight="1">
      <c r="A9" s="80">
        <v>46011</v>
      </c>
      <c r="B9" s="383"/>
      <c r="C9" s="385"/>
      <c r="D9" s="386"/>
      <c r="E9" s="385"/>
      <c r="F9" s="392"/>
    </row>
    <row r="10" spans="1:6" ht="25" customHeight="1">
      <c r="A10" s="80">
        <v>46011</v>
      </c>
      <c r="B10" s="383"/>
      <c r="C10" s="407" t="s">
        <v>737</v>
      </c>
      <c r="D10" s="408">
        <f>SUM(D7:D9)</f>
        <v>663.28</v>
      </c>
      <c r="E10" s="385"/>
      <c r="F10" s="392"/>
    </row>
    <row r="11" spans="1:6" ht="25" customHeight="1">
      <c r="A11" s="145">
        <v>46011</v>
      </c>
      <c r="B11" s="388"/>
      <c r="C11" s="390"/>
      <c r="D11" s="390"/>
      <c r="E11" s="389"/>
      <c r="F11" s="391"/>
    </row>
    <row r="12" spans="1:6" ht="25" customHeight="1">
      <c r="A12" s="80">
        <v>46023</v>
      </c>
      <c r="B12" s="383"/>
      <c r="C12" s="386"/>
      <c r="D12" s="386">
        <v>250</v>
      </c>
      <c r="E12" s="385"/>
      <c r="F12" s="392" t="s">
        <v>741</v>
      </c>
    </row>
    <row r="13" spans="1:6" ht="25" customHeight="1">
      <c r="A13" s="80">
        <v>46023</v>
      </c>
      <c r="B13" s="383"/>
      <c r="C13" s="386"/>
      <c r="D13" s="386"/>
      <c r="E13" s="385"/>
      <c r="F13" s="392"/>
    </row>
    <row r="14" spans="1:6" ht="25" customHeight="1">
      <c r="A14" s="80">
        <v>46023</v>
      </c>
      <c r="B14" s="383"/>
      <c r="C14" s="386"/>
      <c r="D14" s="386"/>
      <c r="E14" s="385"/>
      <c r="F14" s="392"/>
    </row>
    <row r="15" spans="1:6" ht="25" customHeight="1">
      <c r="A15" s="80">
        <v>46023</v>
      </c>
      <c r="B15" s="383"/>
      <c r="C15" s="407" t="s">
        <v>737</v>
      </c>
      <c r="D15" s="408">
        <f>SUM(D12:D14)</f>
        <v>250</v>
      </c>
      <c r="E15" s="385"/>
      <c r="F15" s="392"/>
    </row>
    <row r="16" spans="1:6" ht="25" customHeight="1">
      <c r="A16" s="145">
        <v>46023</v>
      </c>
      <c r="B16" s="388"/>
      <c r="C16" s="390"/>
      <c r="D16" s="390"/>
      <c r="E16" s="389"/>
      <c r="F16" s="391"/>
    </row>
    <row r="17" spans="1:6" ht="25" customHeight="1">
      <c r="A17" s="80">
        <v>46054</v>
      </c>
      <c r="B17" s="383"/>
      <c r="C17" s="386" t="s">
        <v>740</v>
      </c>
      <c r="D17" s="386">
        <v>357.01</v>
      </c>
      <c r="E17" s="385"/>
      <c r="F17" s="392" t="s">
        <v>742</v>
      </c>
    </row>
    <row r="18" spans="1:6" ht="25" customHeight="1">
      <c r="A18" s="80">
        <v>46054</v>
      </c>
      <c r="B18" s="383"/>
      <c r="C18" s="386"/>
      <c r="D18" s="386">
        <v>99</v>
      </c>
      <c r="E18" s="385" t="s">
        <v>743</v>
      </c>
      <c r="F18" s="6" t="s">
        <v>744</v>
      </c>
    </row>
    <row r="19" spans="1:6" ht="25" customHeight="1">
      <c r="A19" s="80">
        <v>46054</v>
      </c>
      <c r="B19" s="383"/>
      <c r="C19" s="386"/>
      <c r="D19" s="386">
        <f>151+99</f>
        <v>250</v>
      </c>
      <c r="E19" s="270" t="s">
        <v>193</v>
      </c>
      <c r="F19" s="6" t="s">
        <v>745</v>
      </c>
    </row>
    <row r="20" spans="1:6" ht="25" customHeight="1">
      <c r="A20" s="80">
        <v>46054</v>
      </c>
      <c r="B20" s="383"/>
      <c r="C20" s="386"/>
      <c r="D20" s="386">
        <v>99</v>
      </c>
      <c r="E20" s="12" t="s">
        <v>211</v>
      </c>
      <c r="F20" s="414" t="s">
        <v>744</v>
      </c>
    </row>
    <row r="21" spans="1:6" ht="25" customHeight="1">
      <c r="A21" s="80">
        <v>46054</v>
      </c>
      <c r="B21" s="383"/>
      <c r="C21" s="386"/>
      <c r="D21" s="386">
        <v>75.94</v>
      </c>
      <c r="E21" s="385"/>
      <c r="F21" s="414" t="s">
        <v>746</v>
      </c>
    </row>
    <row r="22" spans="1:6" ht="25" customHeight="1">
      <c r="A22" s="80">
        <v>46054</v>
      </c>
      <c r="B22" s="383"/>
      <c r="C22" s="386"/>
      <c r="D22" s="386">
        <v>700</v>
      </c>
      <c r="E22" s="385" t="s">
        <v>747</v>
      </c>
      <c r="F22" s="414" t="s">
        <v>748</v>
      </c>
    </row>
    <row r="23" spans="1:6" ht="25" customHeight="1">
      <c r="A23" s="80">
        <v>46054</v>
      </c>
      <c r="B23" s="383"/>
      <c r="C23" s="386"/>
      <c r="D23" s="386"/>
      <c r="E23" s="385"/>
      <c r="F23" s="414"/>
    </row>
    <row r="24" spans="1:6" ht="25" customHeight="1">
      <c r="A24" s="80">
        <v>46054</v>
      </c>
      <c r="B24" s="383"/>
      <c r="C24" s="407" t="s">
        <v>737</v>
      </c>
      <c r="D24" s="408">
        <f>SUM(D17:D23)</f>
        <v>1580.95</v>
      </c>
      <c r="E24" s="385"/>
      <c r="F24" s="392"/>
    </row>
    <row r="25" spans="1:6" ht="25" customHeight="1">
      <c r="A25" s="145">
        <v>46054</v>
      </c>
      <c r="B25" s="259"/>
      <c r="C25" s="260"/>
      <c r="D25" s="260"/>
      <c r="E25" s="261"/>
      <c r="F25" s="262"/>
    </row>
    <row r="26" spans="1:6" ht="26" customHeight="1">
      <c r="A26" s="80">
        <v>46082</v>
      </c>
      <c r="B26" s="383"/>
      <c r="C26" s="386"/>
      <c r="D26" s="386">
        <v>99</v>
      </c>
      <c r="E26" s="12" t="s">
        <v>211</v>
      </c>
      <c r="F26" s="6" t="s">
        <v>744</v>
      </c>
    </row>
    <row r="27" spans="1:6" ht="26" customHeight="1">
      <c r="A27" s="80">
        <v>46082</v>
      </c>
      <c r="B27" s="383"/>
      <c r="C27" s="386"/>
      <c r="D27" s="386">
        <v>99</v>
      </c>
      <c r="E27" s="385" t="s">
        <v>749</v>
      </c>
      <c r="F27" s="6" t="s">
        <v>744</v>
      </c>
    </row>
    <row r="28" spans="1:6" ht="26" customHeight="1">
      <c r="A28" s="80">
        <v>46082</v>
      </c>
      <c r="B28" s="383"/>
      <c r="C28" s="386"/>
      <c r="D28" s="386">
        <v>99</v>
      </c>
      <c r="E28" s="12" t="s">
        <v>228</v>
      </c>
      <c r="F28" s="6" t="s">
        <v>744</v>
      </c>
    </row>
    <row r="29" spans="1:6" ht="26" customHeight="1">
      <c r="A29" s="80">
        <v>46082</v>
      </c>
      <c r="B29" s="383"/>
      <c r="C29" s="386"/>
      <c r="D29" s="386"/>
      <c r="E29" s="385"/>
      <c r="F29" s="392"/>
    </row>
    <row r="30" spans="1:6" ht="26" customHeight="1">
      <c r="A30" s="80">
        <v>46082</v>
      </c>
      <c r="B30" s="383"/>
      <c r="C30" s="407" t="s">
        <v>737</v>
      </c>
      <c r="D30" s="408">
        <f>SUM(D26:D29)</f>
        <v>297</v>
      </c>
      <c r="E30" s="385"/>
      <c r="F30" s="392"/>
    </row>
    <row r="31" spans="1:6" ht="26" customHeight="1">
      <c r="A31" s="145">
        <v>46082</v>
      </c>
      <c r="B31" s="388"/>
      <c r="C31" s="390"/>
      <c r="D31" s="390"/>
      <c r="E31" s="389"/>
      <c r="F31" s="391"/>
    </row>
    <row r="32" spans="1:6" ht="26" customHeight="1">
      <c r="A32" s="80">
        <v>46113</v>
      </c>
      <c r="B32" s="383"/>
      <c r="C32" s="386"/>
      <c r="D32" s="386">
        <f>99+80</f>
        <v>179</v>
      </c>
      <c r="E32" s="12" t="s">
        <v>249</v>
      </c>
      <c r="F32" s="6" t="s">
        <v>750</v>
      </c>
    </row>
    <row r="33" spans="1:6" ht="26" customHeight="1">
      <c r="A33" s="80">
        <v>46113</v>
      </c>
      <c r="B33" s="383"/>
      <c r="C33" s="386"/>
      <c r="D33" s="386"/>
      <c r="E33" s="385"/>
      <c r="F33" s="392"/>
    </row>
    <row r="34" spans="1:6" ht="26" customHeight="1">
      <c r="A34" s="80">
        <v>46113</v>
      </c>
      <c r="B34" s="383"/>
      <c r="C34" s="386"/>
      <c r="D34" s="386"/>
      <c r="E34" s="385"/>
      <c r="F34" s="392"/>
    </row>
    <row r="35" spans="1:6" ht="26" customHeight="1">
      <c r="A35" s="80">
        <v>46113</v>
      </c>
      <c r="B35" s="383"/>
      <c r="C35" s="386"/>
      <c r="D35" s="386"/>
      <c r="E35" s="385" t="s">
        <v>751</v>
      </c>
      <c r="F35" s="392"/>
    </row>
    <row r="36" spans="1:6" ht="26" customHeight="1">
      <c r="A36" s="80">
        <v>46113</v>
      </c>
      <c r="B36" s="383"/>
      <c r="C36" s="407" t="s">
        <v>737</v>
      </c>
      <c r="D36" s="408">
        <f>SUBTOTAL(109,D32:D35)</f>
        <v>179</v>
      </c>
      <c r="E36" s="385"/>
      <c r="F36" s="392"/>
    </row>
    <row r="37" spans="1:6" ht="26" customHeight="1">
      <c r="A37" s="80"/>
      <c r="B37" s="383"/>
      <c r="C37" s="386"/>
      <c r="D37" s="386"/>
      <c r="E37" s="385"/>
      <c r="F37" s="392"/>
    </row>
    <row r="38" spans="1:6" ht="26" customHeight="1">
      <c r="A38" s="80"/>
      <c r="B38" s="383"/>
      <c r="C38" s="386"/>
      <c r="D38" s="386"/>
      <c r="E38" s="385"/>
      <c r="F38" s="392"/>
    </row>
    <row r="39" spans="1:6" ht="26" customHeight="1">
      <c r="A39" s="80"/>
      <c r="B39" s="383"/>
      <c r="C39" s="386"/>
      <c r="D39" s="386"/>
      <c r="E39" s="385"/>
      <c r="F39" s="392"/>
    </row>
    <row r="40" spans="1:6" ht="26" customHeight="1">
      <c r="A40" s="345"/>
      <c r="B40" s="415"/>
      <c r="C40" s="416"/>
      <c r="D40" s="416"/>
      <c r="E40" s="417"/>
      <c r="F40" s="41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D52"/>
  <sheetViews>
    <sheetView zoomScale="80" workbookViewId="0">
      <selection activeCell="C43" sqref="C43"/>
    </sheetView>
  </sheetViews>
  <sheetFormatPr baseColWidth="10" defaultColWidth="8.83203125" defaultRowHeight="15"/>
  <cols>
    <col min="1" max="1" width="28.1640625" customWidth="1"/>
    <col min="2" max="2" width="28.1640625" style="61" customWidth="1"/>
    <col min="3" max="4" width="28.1640625" customWidth="1"/>
  </cols>
  <sheetData>
    <row r="1" spans="1:4" ht="21" customHeight="1">
      <c r="A1" s="153" t="s">
        <v>0</v>
      </c>
      <c r="B1" s="153" t="s">
        <v>468</v>
      </c>
      <c r="C1" s="153" t="s">
        <v>752</v>
      </c>
      <c r="D1" s="153" t="s">
        <v>438</v>
      </c>
    </row>
    <row r="2" spans="1:4" ht="25.5" customHeight="1">
      <c r="A2" s="80">
        <v>45962</v>
      </c>
      <c r="B2" s="386">
        <v>2600</v>
      </c>
      <c r="C2" s="385" t="s">
        <v>590</v>
      </c>
      <c r="D2" s="385" t="s">
        <v>642</v>
      </c>
    </row>
    <row r="3" spans="1:4" ht="25.5" customHeight="1">
      <c r="A3" s="80">
        <v>45962</v>
      </c>
      <c r="B3" s="386">
        <v>20</v>
      </c>
      <c r="C3" s="239" t="s">
        <v>108</v>
      </c>
      <c r="D3" s="385" t="s">
        <v>753</v>
      </c>
    </row>
    <row r="4" spans="1:4" ht="25.5" customHeight="1">
      <c r="A4" s="80">
        <v>45962</v>
      </c>
      <c r="B4" s="386">
        <v>45</v>
      </c>
      <c r="C4" s="385"/>
      <c r="D4" s="385" t="s">
        <v>754</v>
      </c>
    </row>
    <row r="5" spans="1:4" ht="25.5" customHeight="1">
      <c r="A5" s="80">
        <v>45962</v>
      </c>
      <c r="B5" s="386"/>
      <c r="C5" s="385"/>
      <c r="D5" s="381"/>
    </row>
    <row r="6" spans="1:4" ht="24.5" customHeight="1">
      <c r="A6" s="145">
        <v>45962</v>
      </c>
      <c r="B6" s="419"/>
      <c r="C6" s="420" t="s">
        <v>588</v>
      </c>
      <c r="D6" s="421"/>
    </row>
    <row r="7" spans="1:4" ht="25" customHeight="1">
      <c r="A7" s="80">
        <v>45992</v>
      </c>
      <c r="B7" s="399">
        <v>600</v>
      </c>
      <c r="C7" s="385" t="s">
        <v>590</v>
      </c>
      <c r="D7" s="381" t="s">
        <v>755</v>
      </c>
    </row>
    <row r="8" spans="1:4" ht="25" customHeight="1">
      <c r="A8" s="80">
        <v>45992</v>
      </c>
      <c r="B8" s="399">
        <v>220</v>
      </c>
      <c r="C8" s="385" t="s">
        <v>756</v>
      </c>
      <c r="D8" s="381" t="s">
        <v>757</v>
      </c>
    </row>
    <row r="9" spans="1:4" ht="25" customHeight="1">
      <c r="A9" s="80">
        <v>45992</v>
      </c>
      <c r="B9" s="399">
        <v>3600</v>
      </c>
      <c r="C9" s="385" t="s">
        <v>590</v>
      </c>
      <c r="D9" s="381" t="s">
        <v>758</v>
      </c>
    </row>
    <row r="10" spans="1:4" ht="25" customHeight="1">
      <c r="A10" s="80">
        <v>45992</v>
      </c>
      <c r="B10" s="399">
        <v>40</v>
      </c>
      <c r="C10" s="385" t="s">
        <v>759</v>
      </c>
      <c r="D10" s="381" t="s">
        <v>760</v>
      </c>
    </row>
    <row r="11" spans="1:4" ht="25" customHeight="1">
      <c r="A11" s="80">
        <v>45992</v>
      </c>
      <c r="B11" s="399">
        <v>60</v>
      </c>
      <c r="C11" s="385" t="s">
        <v>590</v>
      </c>
      <c r="D11" s="381" t="s">
        <v>761</v>
      </c>
    </row>
    <row r="12" spans="1:4" ht="25" customHeight="1">
      <c r="A12" s="80">
        <v>45992</v>
      </c>
      <c r="B12" s="399">
        <v>40</v>
      </c>
      <c r="C12" s="385" t="s">
        <v>590</v>
      </c>
      <c r="D12" s="381" t="s">
        <v>762</v>
      </c>
    </row>
    <row r="13" spans="1:4" ht="25" customHeight="1">
      <c r="A13" s="80">
        <v>45992</v>
      </c>
      <c r="B13" s="399">
        <v>270</v>
      </c>
      <c r="C13" s="385" t="s">
        <v>763</v>
      </c>
      <c r="D13" s="381" t="s">
        <v>764</v>
      </c>
    </row>
    <row r="14" spans="1:4" ht="25" customHeight="1">
      <c r="A14" s="80">
        <v>45992</v>
      </c>
      <c r="B14" s="399"/>
      <c r="C14" s="381"/>
      <c r="D14" s="381"/>
    </row>
    <row r="15" spans="1:4" ht="25" customHeight="1">
      <c r="A15" s="145">
        <v>45992</v>
      </c>
      <c r="B15" s="422"/>
      <c r="C15" s="423"/>
      <c r="D15" s="423"/>
    </row>
    <row r="16" spans="1:4" ht="25" customHeight="1">
      <c r="A16" s="80">
        <v>46023</v>
      </c>
      <c r="B16" s="399">
        <v>280</v>
      </c>
      <c r="C16" s="381" t="s">
        <v>765</v>
      </c>
      <c r="D16" s="381" t="s">
        <v>766</v>
      </c>
    </row>
    <row r="17" spans="1:4" ht="25" customHeight="1">
      <c r="A17" s="80">
        <v>46023</v>
      </c>
      <c r="B17" s="399">
        <v>140</v>
      </c>
      <c r="C17" s="381" t="s">
        <v>308</v>
      </c>
      <c r="D17" s="381" t="s">
        <v>767</v>
      </c>
    </row>
    <row r="18" spans="1:4" ht="25" customHeight="1">
      <c r="A18" s="80">
        <v>46023</v>
      </c>
      <c r="B18" s="399">
        <v>40</v>
      </c>
      <c r="C18" s="381" t="s">
        <v>308</v>
      </c>
      <c r="D18" s="381" t="s">
        <v>768</v>
      </c>
    </row>
    <row r="19" spans="1:4" ht="25" customHeight="1">
      <c r="A19" s="80">
        <v>46023</v>
      </c>
      <c r="B19" s="399">
        <v>320</v>
      </c>
      <c r="C19" s="381" t="s">
        <v>769</v>
      </c>
      <c r="D19" s="381" t="s">
        <v>770</v>
      </c>
    </row>
    <row r="20" spans="1:4" ht="25" customHeight="1">
      <c r="A20" s="80">
        <v>46023</v>
      </c>
      <c r="B20" s="399">
        <v>150</v>
      </c>
      <c r="C20" s="381" t="s">
        <v>225</v>
      </c>
      <c r="D20" s="381" t="s">
        <v>771</v>
      </c>
    </row>
    <row r="21" spans="1:4" ht="25" customHeight="1">
      <c r="A21" s="80">
        <v>46023</v>
      </c>
      <c r="B21" s="399">
        <v>15</v>
      </c>
      <c r="C21" s="381" t="s">
        <v>181</v>
      </c>
      <c r="D21" s="381" t="s">
        <v>156</v>
      </c>
    </row>
    <row r="22" spans="1:4" ht="25" customHeight="1">
      <c r="A22" s="80">
        <v>46023</v>
      </c>
      <c r="B22" s="399">
        <v>15</v>
      </c>
      <c r="C22" s="381" t="s">
        <v>772</v>
      </c>
      <c r="D22" s="381" t="s">
        <v>773</v>
      </c>
    </row>
    <row r="23" spans="1:4" ht="25" customHeight="1">
      <c r="A23" s="80">
        <v>46023</v>
      </c>
      <c r="B23" s="399">
        <v>260</v>
      </c>
      <c r="C23" s="381" t="s">
        <v>772</v>
      </c>
      <c r="D23" s="381" t="s">
        <v>774</v>
      </c>
    </row>
    <row r="24" spans="1:4" ht="25" customHeight="1">
      <c r="A24" s="80">
        <v>46023</v>
      </c>
      <c r="B24" s="399">
        <v>300</v>
      </c>
      <c r="C24" s="381" t="s">
        <v>306</v>
      </c>
      <c r="D24" s="381" t="s">
        <v>775</v>
      </c>
    </row>
    <row r="25" spans="1:4" ht="25" customHeight="1">
      <c r="A25" s="80">
        <v>46023</v>
      </c>
      <c r="B25" s="399">
        <v>310</v>
      </c>
      <c r="C25" s="381" t="s">
        <v>772</v>
      </c>
      <c r="D25" s="381" t="s">
        <v>776</v>
      </c>
    </row>
    <row r="26" spans="1:4" ht="25" customHeight="1">
      <c r="A26" s="145">
        <v>46023</v>
      </c>
      <c r="B26" s="422"/>
      <c r="C26" s="423"/>
      <c r="D26" s="423"/>
    </row>
    <row r="27" spans="1:4" ht="25" customHeight="1">
      <c r="A27" s="80">
        <v>46054</v>
      </c>
      <c r="B27" s="399">
        <v>150</v>
      </c>
      <c r="C27" s="62" t="s">
        <v>238</v>
      </c>
      <c r="D27" s="381" t="s">
        <v>777</v>
      </c>
    </row>
    <row r="28" spans="1:4" ht="25" customHeight="1">
      <c r="A28" s="80">
        <v>46054</v>
      </c>
      <c r="B28" s="399">
        <v>100</v>
      </c>
      <c r="C28" s="142" t="s">
        <v>308</v>
      </c>
      <c r="D28" s="381" t="s">
        <v>777</v>
      </c>
    </row>
    <row r="29" spans="1:4" ht="25" customHeight="1">
      <c r="A29" s="80">
        <v>46054</v>
      </c>
      <c r="B29" s="399">
        <v>250</v>
      </c>
      <c r="C29" s="381" t="s">
        <v>778</v>
      </c>
      <c r="D29" s="381" t="s">
        <v>777</v>
      </c>
    </row>
    <row r="30" spans="1:4" ht="25" customHeight="1">
      <c r="A30" s="80">
        <v>46054</v>
      </c>
      <c r="B30" s="399">
        <v>250</v>
      </c>
      <c r="C30" s="381" t="s">
        <v>310</v>
      </c>
      <c r="D30" s="381" t="s">
        <v>777</v>
      </c>
    </row>
    <row r="31" spans="1:4" ht="25" customHeight="1">
      <c r="A31" s="80">
        <v>46054</v>
      </c>
      <c r="B31" s="399">
        <v>30</v>
      </c>
      <c r="C31" s="381"/>
      <c r="D31" s="381" t="s">
        <v>779</v>
      </c>
    </row>
    <row r="32" spans="1:4" ht="25" customHeight="1">
      <c r="A32" s="80">
        <v>46054</v>
      </c>
      <c r="B32" s="399">
        <v>2500</v>
      </c>
      <c r="C32" s="381"/>
      <c r="D32" s="381" t="s">
        <v>780</v>
      </c>
    </row>
    <row r="33" spans="1:4" ht="25" customHeight="1">
      <c r="A33" s="80">
        <v>46054</v>
      </c>
      <c r="B33" s="399">
        <v>40</v>
      </c>
      <c r="C33" s="381"/>
      <c r="D33" s="385" t="s">
        <v>698</v>
      </c>
    </row>
    <row r="34" spans="1:4" ht="26" customHeight="1">
      <c r="A34" s="80">
        <v>46054</v>
      </c>
      <c r="B34" s="399">
        <v>240</v>
      </c>
      <c r="C34" s="12" t="s">
        <v>310</v>
      </c>
      <c r="D34" s="381" t="s">
        <v>757</v>
      </c>
    </row>
    <row r="35" spans="1:4" ht="26" customHeight="1">
      <c r="A35" s="80">
        <v>46054</v>
      </c>
      <c r="B35" s="399">
        <v>160</v>
      </c>
      <c r="C35" s="12" t="s">
        <v>211</v>
      </c>
      <c r="D35" s="381" t="s">
        <v>757</v>
      </c>
    </row>
    <row r="36" spans="1:4" ht="26" customHeight="1">
      <c r="A36" s="80">
        <v>46054</v>
      </c>
      <c r="B36" s="399">
        <v>10</v>
      </c>
      <c r="C36" s="381" t="s">
        <v>308</v>
      </c>
      <c r="D36" s="381" t="s">
        <v>776</v>
      </c>
    </row>
    <row r="37" spans="1:4" ht="26" customHeight="1">
      <c r="A37" s="80">
        <v>46054</v>
      </c>
      <c r="B37" s="399">
        <v>250</v>
      </c>
      <c r="C37" s="381" t="s">
        <v>208</v>
      </c>
      <c r="D37" s="381" t="s">
        <v>777</v>
      </c>
    </row>
    <row r="38" spans="1:4" ht="26" customHeight="1">
      <c r="A38" s="80">
        <v>46054</v>
      </c>
      <c r="B38" s="399">
        <v>50</v>
      </c>
      <c r="C38" s="381" t="s">
        <v>228</v>
      </c>
      <c r="D38" s="381" t="s">
        <v>777</v>
      </c>
    </row>
    <row r="39" spans="1:4" ht="26" customHeight="1">
      <c r="A39" s="80">
        <v>46054</v>
      </c>
      <c r="B39" s="399">
        <v>200</v>
      </c>
      <c r="C39" s="12" t="s">
        <v>200</v>
      </c>
      <c r="D39" s="381" t="s">
        <v>777</v>
      </c>
    </row>
    <row r="40" spans="1:4" ht="26" customHeight="1">
      <c r="A40" s="145">
        <v>46054</v>
      </c>
      <c r="B40" s="422"/>
      <c r="C40" s="423"/>
      <c r="D40" s="423"/>
    </row>
    <row r="41" spans="1:4" ht="26" customHeight="1">
      <c r="A41" s="80">
        <v>46113</v>
      </c>
      <c r="B41" s="399">
        <v>2500</v>
      </c>
      <c r="C41" s="381"/>
      <c r="D41" s="381" t="s">
        <v>780</v>
      </c>
    </row>
    <row r="42" spans="1:4" ht="26" customHeight="1">
      <c r="A42" s="80">
        <v>46113</v>
      </c>
      <c r="B42" s="399">
        <v>540</v>
      </c>
      <c r="C42" s="381" t="s">
        <v>781</v>
      </c>
      <c r="D42" s="381" t="s">
        <v>782</v>
      </c>
    </row>
    <row r="43" spans="1:4" ht="26" customHeight="1">
      <c r="A43" s="80">
        <v>46113</v>
      </c>
      <c r="B43" s="399"/>
      <c r="C43" s="381"/>
      <c r="D43" s="381"/>
    </row>
    <row r="44" spans="1:4" ht="26" customHeight="1">
      <c r="A44" s="80">
        <v>46113</v>
      </c>
      <c r="B44" s="399"/>
      <c r="C44" s="381"/>
      <c r="D44" s="381"/>
    </row>
    <row r="45" spans="1:4" ht="25" customHeight="1">
      <c r="A45" s="80">
        <v>46113</v>
      </c>
      <c r="B45" s="399"/>
      <c r="C45" s="381"/>
      <c r="D45" s="381"/>
    </row>
    <row r="46" spans="1:4" ht="25" customHeight="1">
      <c r="A46" s="80">
        <v>46113</v>
      </c>
      <c r="B46" s="399"/>
      <c r="C46" s="381"/>
      <c r="D46" s="381"/>
    </row>
    <row r="47" spans="1:4" ht="25" customHeight="1">
      <c r="A47" s="80">
        <v>46113</v>
      </c>
      <c r="B47" s="399"/>
      <c r="C47" s="381"/>
      <c r="D47" s="381"/>
    </row>
    <row r="48" spans="1:4" ht="25" customHeight="1">
      <c r="A48" s="80">
        <v>46113</v>
      </c>
      <c r="B48" s="399"/>
      <c r="C48" s="381"/>
      <c r="D48" s="381"/>
    </row>
    <row r="49" spans="1:4" ht="25" customHeight="1">
      <c r="A49" s="80">
        <v>46113</v>
      </c>
      <c r="B49" s="399"/>
      <c r="C49" s="381"/>
      <c r="D49" s="381"/>
    </row>
    <row r="50" spans="1:4" ht="25" customHeight="1">
      <c r="A50" s="80">
        <v>46113</v>
      </c>
      <c r="B50" s="399"/>
      <c r="C50" s="381"/>
      <c r="D50" s="381"/>
    </row>
    <row r="51" spans="1:4" ht="25" customHeight="1">
      <c r="A51" s="80">
        <v>46113</v>
      </c>
      <c r="B51" s="399"/>
      <c r="C51" s="381"/>
      <c r="D51" s="381"/>
    </row>
    <row r="52" spans="1:4" ht="25" customHeight="1">
      <c r="A52" s="80">
        <v>46113</v>
      </c>
      <c r="B52" s="399"/>
      <c r="C52" s="381"/>
      <c r="D52" s="381"/>
    </row>
  </sheetData>
  <autoFilter ref="A1:D45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E110"/>
  <sheetViews>
    <sheetView zoomScale="73" workbookViewId="0">
      <selection activeCell="H10" sqref="H10"/>
    </sheetView>
  </sheetViews>
  <sheetFormatPr baseColWidth="10" defaultColWidth="8.83203125" defaultRowHeight="15"/>
  <cols>
    <col min="1" max="1" width="23.1640625" bestFit="1" customWidth="1"/>
    <col min="2" max="2" width="28.1640625" style="45" customWidth="1"/>
    <col min="3" max="3" width="23.6640625" customWidth="1"/>
    <col min="4" max="4" width="17.83203125" style="195" customWidth="1"/>
    <col min="5" max="5" width="31.83203125" customWidth="1"/>
  </cols>
  <sheetData>
    <row r="1" spans="1:5" ht="26" customHeight="1">
      <c r="A1" s="48" t="s">
        <v>0</v>
      </c>
      <c r="B1" s="47" t="s">
        <v>437</v>
      </c>
      <c r="C1" s="48" t="s">
        <v>466</v>
      </c>
      <c r="D1" s="48" t="s">
        <v>468</v>
      </c>
      <c r="E1" s="49" t="s">
        <v>13</v>
      </c>
    </row>
    <row r="2" spans="1:5" ht="52.5" customHeight="1">
      <c r="A2" s="80">
        <v>45962</v>
      </c>
      <c r="B2" s="383">
        <v>45991</v>
      </c>
      <c r="C2" s="385" t="s">
        <v>783</v>
      </c>
      <c r="D2" s="386">
        <v>500</v>
      </c>
      <c r="E2" s="392" t="s">
        <v>784</v>
      </c>
    </row>
    <row r="3" spans="1:5" ht="25.5" customHeight="1">
      <c r="A3" s="81">
        <v>45962</v>
      </c>
      <c r="B3" s="383"/>
      <c r="C3" s="385"/>
      <c r="D3" s="386"/>
      <c r="E3" s="413"/>
    </row>
    <row r="4" spans="1:5" ht="25.5" customHeight="1">
      <c r="A4" s="81">
        <v>45962</v>
      </c>
      <c r="B4" s="383"/>
      <c r="C4" s="407" t="s">
        <v>785</v>
      </c>
      <c r="D4" s="408">
        <f>SUM(D2:D2)</f>
        <v>500</v>
      </c>
      <c r="E4" s="392"/>
    </row>
    <row r="5" spans="1:5" ht="25.5" customHeight="1">
      <c r="A5" s="423"/>
      <c r="B5" s="388"/>
      <c r="C5" s="423"/>
      <c r="D5" s="423"/>
      <c r="E5" s="424"/>
    </row>
    <row r="6" spans="1:5" ht="25.5" customHeight="1">
      <c r="A6" s="81">
        <v>46023</v>
      </c>
      <c r="B6" s="383">
        <v>46027</v>
      </c>
      <c r="C6" s="381" t="s">
        <v>477</v>
      </c>
      <c r="D6" s="425">
        <v>1700</v>
      </c>
      <c r="E6" s="413" t="s">
        <v>786</v>
      </c>
    </row>
    <row r="7" spans="1:5" ht="25.5" customHeight="1">
      <c r="A7" s="81">
        <v>46023</v>
      </c>
      <c r="B7" s="383">
        <v>46027</v>
      </c>
      <c r="C7" s="381" t="s">
        <v>489</v>
      </c>
      <c r="D7" s="425">
        <v>514.74</v>
      </c>
      <c r="E7" s="413" t="s">
        <v>786</v>
      </c>
    </row>
    <row r="8" spans="1:5" ht="25.5" customHeight="1">
      <c r="A8" s="81">
        <v>46023</v>
      </c>
      <c r="B8" s="383"/>
      <c r="C8" s="381"/>
      <c r="D8" s="381"/>
      <c r="E8" s="413"/>
    </row>
    <row r="9" spans="1:5" ht="25.5" customHeight="1">
      <c r="A9" s="81">
        <v>46023</v>
      </c>
      <c r="B9" s="383"/>
      <c r="C9" s="407" t="s">
        <v>785</v>
      </c>
      <c r="D9" s="408">
        <f>SUM(D6:D7)</f>
        <v>2214.7399999999998</v>
      </c>
      <c r="E9" s="413"/>
    </row>
    <row r="10" spans="1:5" ht="25.5" customHeight="1">
      <c r="A10" s="126">
        <v>46023</v>
      </c>
      <c r="B10" s="388"/>
      <c r="C10" s="423"/>
      <c r="D10" s="426"/>
      <c r="E10" s="424"/>
    </row>
    <row r="11" spans="1:5" ht="25.5" customHeight="1">
      <c r="A11" s="81">
        <v>46107</v>
      </c>
      <c r="B11" s="383">
        <v>46107</v>
      </c>
      <c r="C11" s="381" t="s">
        <v>477</v>
      </c>
      <c r="D11" s="425">
        <v>1000</v>
      </c>
      <c r="E11" s="427" t="s">
        <v>588</v>
      </c>
    </row>
    <row r="12" spans="1:5" ht="26" customHeight="1">
      <c r="A12" s="81">
        <v>46107</v>
      </c>
      <c r="B12" s="383">
        <v>46107</v>
      </c>
      <c r="C12" s="381" t="s">
        <v>489</v>
      </c>
      <c r="D12" s="425">
        <v>1000</v>
      </c>
      <c r="E12" s="427" t="s">
        <v>588</v>
      </c>
    </row>
    <row r="13" spans="1:5" ht="26" customHeight="1">
      <c r="A13" s="428"/>
      <c r="B13" s="415"/>
      <c r="C13" s="428"/>
      <c r="D13" s="429"/>
      <c r="E13" s="427"/>
    </row>
    <row r="14" spans="1:5" ht="26" customHeight="1">
      <c r="A14" s="428"/>
      <c r="B14" s="415"/>
      <c r="C14" s="407" t="s">
        <v>785</v>
      </c>
      <c r="D14" s="408">
        <f>SUM(D11:D12)</f>
        <v>2000</v>
      </c>
      <c r="E14" s="427"/>
    </row>
    <row r="15" spans="1:5" ht="26" customHeight="1">
      <c r="A15" s="430"/>
      <c r="B15" s="431"/>
      <c r="C15" s="430"/>
      <c r="D15" s="432"/>
      <c r="E15" s="433"/>
    </row>
    <row r="16" spans="1:5" ht="26" customHeight="1">
      <c r="A16" s="428"/>
      <c r="B16" s="415"/>
      <c r="C16" s="428"/>
      <c r="D16" s="429"/>
      <c r="E16" s="427"/>
    </row>
    <row r="17" spans="1:5" ht="26" customHeight="1">
      <c r="A17" s="428"/>
      <c r="B17" s="415"/>
      <c r="C17" s="428"/>
      <c r="D17" s="429"/>
      <c r="E17" s="427"/>
    </row>
    <row r="18" spans="1:5" ht="26" customHeight="1">
      <c r="A18" s="428"/>
      <c r="B18" s="415"/>
      <c r="C18" s="428"/>
      <c r="D18" s="429"/>
      <c r="E18" s="427"/>
    </row>
    <row r="19" spans="1:5" ht="26" customHeight="1">
      <c r="A19" s="428"/>
      <c r="B19" s="415"/>
      <c r="C19" s="428"/>
      <c r="D19" s="429"/>
      <c r="E19" s="427"/>
    </row>
    <row r="20" spans="1:5" ht="26" customHeight="1">
      <c r="A20" s="428"/>
      <c r="B20" s="415"/>
      <c r="C20" s="428"/>
      <c r="D20" s="429"/>
      <c r="E20" s="427"/>
    </row>
    <row r="21" spans="1:5" ht="26" customHeight="1">
      <c r="A21" s="428"/>
      <c r="B21" s="415"/>
      <c r="C21" s="428"/>
      <c r="D21" s="429"/>
      <c r="E21" s="427"/>
    </row>
    <row r="22" spans="1:5" ht="26" customHeight="1">
      <c r="A22" s="428"/>
      <c r="B22" s="415"/>
      <c r="C22" s="428"/>
      <c r="D22" s="429"/>
      <c r="E22" s="427"/>
    </row>
    <row r="23" spans="1:5" ht="26" customHeight="1">
      <c r="A23" s="428"/>
      <c r="B23" s="415"/>
      <c r="C23" s="428"/>
      <c r="D23" s="429"/>
      <c r="E23" s="427"/>
    </row>
    <row r="24" spans="1:5" ht="26" customHeight="1">
      <c r="A24" s="428"/>
      <c r="B24" s="415"/>
      <c r="C24" s="428"/>
      <c r="D24" s="429"/>
      <c r="E24" s="427"/>
    </row>
    <row r="25" spans="1:5" ht="26" customHeight="1">
      <c r="A25" s="428"/>
      <c r="B25" s="415"/>
      <c r="C25" s="428"/>
      <c r="D25" s="429"/>
      <c r="E25" s="427"/>
    </row>
    <row r="26" spans="1:5" ht="26" customHeight="1">
      <c r="A26" s="428"/>
      <c r="B26" s="415"/>
      <c r="C26" s="428"/>
      <c r="D26" s="429"/>
      <c r="E26" s="427"/>
    </row>
    <row r="27" spans="1:5" ht="26" customHeight="1">
      <c r="A27" s="428"/>
      <c r="B27" s="415"/>
      <c r="C27" s="428"/>
      <c r="D27" s="429"/>
      <c r="E27" s="427"/>
    </row>
    <row r="28" spans="1:5" ht="26" customHeight="1">
      <c r="A28" s="428"/>
      <c r="B28" s="415"/>
      <c r="C28" s="428"/>
      <c r="D28" s="429"/>
      <c r="E28" s="427"/>
    </row>
    <row r="29" spans="1:5" ht="26" customHeight="1">
      <c r="A29" s="428"/>
      <c r="B29" s="415"/>
      <c r="C29" s="428"/>
      <c r="D29" s="429"/>
      <c r="E29" s="427"/>
    </row>
    <row r="30" spans="1:5" ht="26" customHeight="1">
      <c r="A30" s="428"/>
      <c r="B30" s="415"/>
      <c r="C30" s="428"/>
      <c r="D30" s="429"/>
      <c r="E30" s="427"/>
    </row>
    <row r="31" spans="1:5" ht="26" customHeight="1">
      <c r="A31" s="428"/>
      <c r="B31" s="415"/>
      <c r="C31" s="428"/>
      <c r="D31" s="429"/>
      <c r="E31" s="427"/>
    </row>
    <row r="32" spans="1:5" ht="26" customHeight="1">
      <c r="A32" s="428"/>
      <c r="B32" s="415"/>
      <c r="C32" s="428"/>
      <c r="D32" s="429"/>
      <c r="E32" s="427"/>
    </row>
    <row r="33" spans="1:5" ht="26" customHeight="1">
      <c r="A33" s="428"/>
      <c r="B33" s="415"/>
      <c r="C33" s="428"/>
      <c r="D33" s="429"/>
      <c r="E33" s="427"/>
    </row>
    <row r="34" spans="1:5" ht="26" customHeight="1">
      <c r="A34" s="428"/>
      <c r="B34" s="415"/>
      <c r="C34" s="428"/>
      <c r="D34" s="429"/>
      <c r="E34" s="427"/>
    </row>
    <row r="35" spans="1:5" ht="26" customHeight="1">
      <c r="A35" s="428"/>
      <c r="B35" s="415"/>
      <c r="C35" s="428"/>
      <c r="D35" s="429"/>
      <c r="E35" s="427"/>
    </row>
    <row r="36" spans="1:5" ht="26" customHeight="1">
      <c r="A36" s="428"/>
      <c r="B36" s="415"/>
      <c r="C36" s="428"/>
      <c r="D36" s="429"/>
      <c r="E36" s="427"/>
    </row>
    <row r="37" spans="1:5" ht="26" customHeight="1">
      <c r="A37" s="428"/>
      <c r="B37" s="415"/>
      <c r="C37" s="428"/>
      <c r="D37" s="429"/>
      <c r="E37" s="427"/>
    </row>
    <row r="38" spans="1:5" ht="26" customHeight="1">
      <c r="A38" s="428"/>
      <c r="B38" s="415"/>
      <c r="C38" s="428"/>
      <c r="D38" s="429"/>
      <c r="E38" s="427"/>
    </row>
    <row r="39" spans="1:5" ht="26" customHeight="1">
      <c r="A39" s="428"/>
      <c r="B39" s="415"/>
      <c r="C39" s="428"/>
      <c r="D39" s="429"/>
      <c r="E39" s="427"/>
    </row>
    <row r="40" spans="1:5" ht="26" customHeight="1">
      <c r="A40" s="428"/>
      <c r="B40" s="415"/>
      <c r="C40" s="428"/>
      <c r="D40" s="429"/>
      <c r="E40" s="427"/>
    </row>
    <row r="41" spans="1:5" ht="26" customHeight="1">
      <c r="A41" s="428"/>
      <c r="B41" s="415"/>
      <c r="C41" s="428"/>
      <c r="D41" s="429"/>
      <c r="E41" s="427"/>
    </row>
    <row r="42" spans="1:5" ht="26" customHeight="1">
      <c r="A42" s="428"/>
      <c r="B42" s="415"/>
      <c r="C42" s="428"/>
      <c r="D42" s="429"/>
      <c r="E42" s="427"/>
    </row>
    <row r="43" spans="1:5" ht="26" customHeight="1">
      <c r="A43" s="428"/>
      <c r="B43" s="415"/>
      <c r="C43" s="428"/>
      <c r="D43" s="429"/>
      <c r="E43" s="427"/>
    </row>
    <row r="44" spans="1:5" ht="26" customHeight="1">
      <c r="A44" s="428"/>
      <c r="B44" s="415"/>
      <c r="C44" s="428"/>
      <c r="D44" s="429"/>
      <c r="E44" s="427"/>
    </row>
    <row r="45" spans="1:5" ht="26" customHeight="1">
      <c r="A45" s="428"/>
      <c r="B45" s="415"/>
      <c r="C45" s="428"/>
      <c r="D45" s="429"/>
      <c r="E45" s="427"/>
    </row>
    <row r="46" spans="1:5" ht="26" customHeight="1">
      <c r="A46" s="428"/>
      <c r="B46" s="415"/>
      <c r="C46" s="428"/>
      <c r="D46" s="429"/>
      <c r="E46" s="427"/>
    </row>
    <row r="47" spans="1:5" ht="26" customHeight="1">
      <c r="A47" s="428"/>
      <c r="B47" s="415"/>
      <c r="C47" s="428"/>
      <c r="D47" s="429"/>
      <c r="E47" s="427"/>
    </row>
    <row r="48" spans="1:5" ht="26" customHeight="1">
      <c r="A48" s="428"/>
      <c r="B48" s="415"/>
      <c r="C48" s="428"/>
      <c r="D48" s="429"/>
      <c r="E48" s="427"/>
    </row>
    <row r="49" spans="1:5" ht="26" customHeight="1">
      <c r="A49" s="428"/>
      <c r="B49" s="415"/>
      <c r="C49" s="428"/>
      <c r="D49" s="429"/>
      <c r="E49" s="427"/>
    </row>
    <row r="50" spans="1:5" ht="26" customHeight="1">
      <c r="A50" s="428"/>
      <c r="B50" s="415"/>
      <c r="C50" s="428"/>
      <c r="D50" s="429"/>
      <c r="E50" s="427"/>
    </row>
    <row r="51" spans="1:5" ht="26" customHeight="1">
      <c r="A51" s="428"/>
      <c r="B51" s="415"/>
      <c r="C51" s="428"/>
      <c r="D51" s="429"/>
      <c r="E51" s="427"/>
    </row>
    <row r="52" spans="1:5" ht="26" customHeight="1">
      <c r="A52" s="428"/>
      <c r="B52" s="415"/>
      <c r="C52" s="428"/>
      <c r="D52" s="429"/>
      <c r="E52" s="427"/>
    </row>
    <row r="53" spans="1:5" ht="26" customHeight="1">
      <c r="A53" s="428"/>
      <c r="B53" s="415"/>
      <c r="C53" s="428"/>
      <c r="D53" s="429"/>
      <c r="E53" s="427"/>
    </row>
    <row r="54" spans="1:5" ht="26" customHeight="1">
      <c r="A54" s="428"/>
      <c r="B54" s="415"/>
      <c r="C54" s="428"/>
      <c r="D54" s="429"/>
      <c r="E54" s="427"/>
    </row>
    <row r="55" spans="1:5" ht="26" customHeight="1">
      <c r="A55" s="428"/>
      <c r="B55" s="415"/>
      <c r="C55" s="428"/>
      <c r="D55" s="429"/>
      <c r="E55" s="427"/>
    </row>
    <row r="56" spans="1:5" ht="26" customHeight="1">
      <c r="A56" s="428"/>
      <c r="B56" s="415"/>
      <c r="C56" s="428"/>
      <c r="D56" s="429"/>
      <c r="E56" s="427"/>
    </row>
    <row r="57" spans="1:5" ht="26" customHeight="1">
      <c r="A57" s="428"/>
      <c r="B57" s="415"/>
      <c r="C57" s="428"/>
      <c r="D57" s="429"/>
      <c r="E57" s="427"/>
    </row>
    <row r="58" spans="1:5" ht="26" customHeight="1">
      <c r="A58" s="428"/>
      <c r="B58" s="415"/>
      <c r="C58" s="428"/>
      <c r="D58" s="429"/>
      <c r="E58" s="427"/>
    </row>
    <row r="59" spans="1:5" ht="26" customHeight="1">
      <c r="A59" s="428"/>
      <c r="B59" s="415"/>
      <c r="C59" s="428"/>
      <c r="D59" s="429"/>
      <c r="E59" s="427"/>
    </row>
    <row r="60" spans="1:5" ht="26" customHeight="1">
      <c r="A60" s="428"/>
      <c r="B60" s="415"/>
      <c r="C60" s="428"/>
      <c r="D60" s="429"/>
      <c r="E60" s="427"/>
    </row>
    <row r="61" spans="1:5" ht="26" customHeight="1">
      <c r="A61" s="428"/>
      <c r="B61" s="415"/>
      <c r="C61" s="428"/>
      <c r="D61" s="429"/>
      <c r="E61" s="427"/>
    </row>
    <row r="62" spans="1:5" ht="26" customHeight="1">
      <c r="A62" s="428"/>
      <c r="B62" s="415"/>
      <c r="C62" s="428"/>
      <c r="D62" s="429"/>
      <c r="E62" s="427"/>
    </row>
    <row r="63" spans="1:5" ht="26" customHeight="1">
      <c r="A63" s="428"/>
      <c r="B63" s="415"/>
      <c r="C63" s="428"/>
      <c r="D63" s="429"/>
      <c r="E63" s="427"/>
    </row>
    <row r="64" spans="1:5" ht="26" customHeight="1">
      <c r="A64" s="428"/>
      <c r="B64" s="415"/>
      <c r="C64" s="428"/>
      <c r="D64" s="429"/>
      <c r="E64" s="427"/>
    </row>
    <row r="65" spans="1:5" ht="26" customHeight="1">
      <c r="A65" s="428"/>
      <c r="B65" s="415"/>
      <c r="C65" s="428"/>
      <c r="D65" s="429"/>
      <c r="E65" s="427"/>
    </row>
    <row r="66" spans="1:5" ht="26" customHeight="1">
      <c r="A66" s="428"/>
      <c r="B66" s="415"/>
      <c r="C66" s="428"/>
      <c r="D66" s="429"/>
      <c r="E66" s="427"/>
    </row>
    <row r="67" spans="1:5" ht="26" customHeight="1">
      <c r="A67" s="428"/>
      <c r="B67" s="415"/>
      <c r="C67" s="428"/>
      <c r="D67" s="429"/>
      <c r="E67" s="427"/>
    </row>
    <row r="68" spans="1:5" ht="26" customHeight="1">
      <c r="A68" s="428"/>
      <c r="B68" s="415"/>
      <c r="C68" s="428"/>
      <c r="D68" s="429"/>
      <c r="E68" s="427"/>
    </row>
    <row r="69" spans="1:5" ht="26" customHeight="1">
      <c r="A69" s="428"/>
      <c r="B69" s="415"/>
      <c r="C69" s="428"/>
      <c r="D69" s="429"/>
      <c r="E69" s="427"/>
    </row>
    <row r="70" spans="1:5" ht="26" customHeight="1">
      <c r="A70" s="428"/>
      <c r="B70" s="415"/>
      <c r="C70" s="428"/>
      <c r="D70" s="429"/>
      <c r="E70" s="427"/>
    </row>
    <row r="71" spans="1:5" ht="26" customHeight="1">
      <c r="A71" s="428"/>
      <c r="B71" s="415"/>
      <c r="C71" s="428"/>
      <c r="D71" s="429"/>
      <c r="E71" s="427"/>
    </row>
    <row r="72" spans="1:5" ht="26" customHeight="1">
      <c r="A72" s="428"/>
      <c r="B72" s="415"/>
      <c r="C72" s="428"/>
      <c r="D72" s="429"/>
      <c r="E72" s="427"/>
    </row>
    <row r="73" spans="1:5" ht="26" customHeight="1">
      <c r="A73" s="428"/>
      <c r="B73" s="415"/>
      <c r="C73" s="428"/>
      <c r="D73" s="429"/>
      <c r="E73" s="427"/>
    </row>
    <row r="74" spans="1:5" ht="26" customHeight="1">
      <c r="A74" s="428"/>
      <c r="B74" s="415"/>
      <c r="C74" s="428"/>
      <c r="D74" s="429"/>
      <c r="E74" s="427"/>
    </row>
    <row r="75" spans="1:5" ht="26" customHeight="1">
      <c r="A75" s="428"/>
      <c r="B75" s="415"/>
      <c r="C75" s="428"/>
      <c r="D75" s="429"/>
      <c r="E75" s="427"/>
    </row>
    <row r="76" spans="1:5" ht="26" customHeight="1">
      <c r="A76" s="428"/>
      <c r="B76" s="415"/>
      <c r="C76" s="428"/>
      <c r="D76" s="429"/>
      <c r="E76" s="427"/>
    </row>
    <row r="77" spans="1:5" ht="26" customHeight="1">
      <c r="A77" s="428"/>
      <c r="B77" s="415"/>
      <c r="C77" s="428"/>
      <c r="D77" s="429"/>
      <c r="E77" s="427"/>
    </row>
    <row r="78" spans="1:5" ht="26" customHeight="1">
      <c r="A78" s="428"/>
      <c r="B78" s="415"/>
      <c r="C78" s="428"/>
      <c r="D78" s="429"/>
      <c r="E78" s="427"/>
    </row>
    <row r="79" spans="1:5" ht="26" customHeight="1">
      <c r="A79" s="428"/>
      <c r="B79" s="415"/>
      <c r="C79" s="428"/>
      <c r="D79" s="429"/>
      <c r="E79" s="427"/>
    </row>
    <row r="80" spans="1:5" ht="26" customHeight="1">
      <c r="A80" s="428"/>
      <c r="B80" s="415"/>
      <c r="C80" s="428"/>
      <c r="D80" s="429"/>
      <c r="E80" s="427"/>
    </row>
    <row r="81" spans="1:5" ht="26" customHeight="1">
      <c r="A81" s="428"/>
      <c r="B81" s="415"/>
      <c r="C81" s="428"/>
      <c r="D81" s="429"/>
      <c r="E81" s="427"/>
    </row>
    <row r="82" spans="1:5" ht="26" customHeight="1">
      <c r="A82" s="428"/>
      <c r="B82" s="415"/>
      <c r="C82" s="428"/>
      <c r="D82" s="429"/>
      <c r="E82" s="427"/>
    </row>
    <row r="83" spans="1:5" ht="26" customHeight="1">
      <c r="A83" s="428"/>
      <c r="B83" s="415"/>
      <c r="C83" s="428"/>
      <c r="D83" s="429"/>
      <c r="E83" s="427"/>
    </row>
    <row r="84" spans="1:5" ht="26" customHeight="1">
      <c r="A84" s="428"/>
      <c r="B84" s="415"/>
      <c r="C84" s="428"/>
      <c r="D84" s="429"/>
      <c r="E84" s="427"/>
    </row>
    <row r="85" spans="1:5" ht="26" customHeight="1">
      <c r="A85" s="428"/>
      <c r="B85" s="415"/>
      <c r="C85" s="428"/>
      <c r="D85" s="429"/>
      <c r="E85" s="427"/>
    </row>
    <row r="86" spans="1:5" ht="26" customHeight="1">
      <c r="A86" s="428"/>
      <c r="B86" s="415"/>
      <c r="C86" s="428"/>
      <c r="D86" s="429"/>
      <c r="E86" s="427"/>
    </row>
    <row r="87" spans="1:5" ht="26" customHeight="1">
      <c r="A87" s="428"/>
      <c r="B87" s="415"/>
      <c r="C87" s="428"/>
      <c r="D87" s="429"/>
      <c r="E87" s="427"/>
    </row>
    <row r="88" spans="1:5" ht="26" customHeight="1">
      <c r="A88" s="428"/>
      <c r="B88" s="415"/>
      <c r="C88" s="428"/>
      <c r="D88" s="429"/>
      <c r="E88" s="427"/>
    </row>
    <row r="89" spans="1:5" ht="26" customHeight="1">
      <c r="A89" s="428"/>
      <c r="B89" s="415"/>
      <c r="C89" s="428"/>
      <c r="D89" s="429"/>
      <c r="E89" s="427"/>
    </row>
    <row r="90" spans="1:5" ht="26" customHeight="1">
      <c r="A90" s="428"/>
      <c r="B90" s="415"/>
      <c r="C90" s="428"/>
      <c r="D90" s="429"/>
      <c r="E90" s="427"/>
    </row>
    <row r="91" spans="1:5" ht="26" customHeight="1">
      <c r="A91" s="428"/>
      <c r="B91" s="415"/>
      <c r="C91" s="428"/>
      <c r="D91" s="429"/>
      <c r="E91" s="427"/>
    </row>
    <row r="92" spans="1:5" ht="26" customHeight="1">
      <c r="A92" s="428"/>
      <c r="B92" s="415"/>
      <c r="C92" s="428"/>
      <c r="D92" s="429"/>
      <c r="E92" s="427"/>
    </row>
    <row r="93" spans="1:5" ht="26" customHeight="1">
      <c r="A93" s="428"/>
      <c r="B93" s="415"/>
      <c r="C93" s="428"/>
      <c r="D93" s="429"/>
      <c r="E93" s="427"/>
    </row>
    <row r="94" spans="1:5" ht="26" customHeight="1">
      <c r="A94" s="428"/>
      <c r="B94" s="415"/>
      <c r="C94" s="428"/>
      <c r="D94" s="429"/>
      <c r="E94" s="427"/>
    </row>
    <row r="95" spans="1:5" ht="26" customHeight="1">
      <c r="A95" s="428"/>
      <c r="B95" s="415"/>
      <c r="C95" s="428"/>
      <c r="D95" s="429"/>
      <c r="E95" s="427"/>
    </row>
    <row r="96" spans="1:5" ht="26" customHeight="1">
      <c r="A96" s="428"/>
      <c r="B96" s="415"/>
      <c r="C96" s="428"/>
      <c r="D96" s="429"/>
      <c r="E96" s="427"/>
    </row>
    <row r="97" spans="1:5" ht="26" customHeight="1">
      <c r="A97" s="428"/>
      <c r="B97" s="415"/>
      <c r="C97" s="428"/>
      <c r="D97" s="429"/>
      <c r="E97" s="427"/>
    </row>
    <row r="98" spans="1:5" ht="26" customHeight="1">
      <c r="A98" s="428"/>
      <c r="B98" s="415"/>
      <c r="C98" s="428"/>
      <c r="D98" s="429"/>
      <c r="E98" s="427"/>
    </row>
    <row r="99" spans="1:5" ht="26" customHeight="1">
      <c r="A99" s="428"/>
      <c r="B99" s="415"/>
      <c r="C99" s="428"/>
      <c r="D99" s="429"/>
      <c r="E99" s="427"/>
    </row>
    <row r="100" spans="1:5" ht="26" customHeight="1">
      <c r="A100" s="428"/>
      <c r="B100" s="415"/>
      <c r="C100" s="428"/>
      <c r="D100" s="429"/>
      <c r="E100" s="427"/>
    </row>
    <row r="101" spans="1:5" ht="26" customHeight="1">
      <c r="A101" s="428"/>
      <c r="B101" s="415"/>
      <c r="C101" s="428"/>
      <c r="D101" s="429"/>
      <c r="E101" s="427"/>
    </row>
    <row r="102" spans="1:5" ht="26" customHeight="1">
      <c r="A102" s="428"/>
      <c r="B102" s="415"/>
      <c r="C102" s="428"/>
      <c r="D102" s="429"/>
      <c r="E102" s="427"/>
    </row>
    <row r="103" spans="1:5" ht="26" customHeight="1">
      <c r="A103" s="428"/>
      <c r="B103" s="415"/>
      <c r="C103" s="428"/>
      <c r="D103" s="429"/>
      <c r="E103" s="427"/>
    </row>
    <row r="104" spans="1:5" ht="26" customHeight="1">
      <c r="A104" s="428"/>
      <c r="B104" s="415"/>
      <c r="C104" s="428"/>
      <c r="D104" s="429"/>
      <c r="E104" s="427"/>
    </row>
    <row r="105" spans="1:5" ht="26" customHeight="1">
      <c r="A105" s="428"/>
      <c r="B105" s="415"/>
      <c r="C105" s="428"/>
      <c r="D105" s="429"/>
      <c r="E105" s="427"/>
    </row>
    <row r="106" spans="1:5" ht="26" customHeight="1">
      <c r="A106" s="428"/>
      <c r="B106" s="415"/>
      <c r="C106" s="428"/>
      <c r="D106" s="429"/>
      <c r="E106" s="427"/>
    </row>
    <row r="107" spans="1:5" ht="26" customHeight="1">
      <c r="A107" s="428"/>
      <c r="B107" s="415"/>
      <c r="C107" s="428"/>
      <c r="D107" s="429"/>
      <c r="E107" s="427"/>
    </row>
    <row r="108" spans="1:5" ht="26" customHeight="1">
      <c r="A108" s="428"/>
      <c r="B108" s="415"/>
      <c r="C108" s="428"/>
      <c r="D108" s="429"/>
      <c r="E108" s="427"/>
    </row>
    <row r="109" spans="1:5" ht="26" customHeight="1">
      <c r="A109" s="428"/>
      <c r="B109" s="415"/>
      <c r="C109" s="428"/>
      <c r="D109" s="429"/>
      <c r="E109" s="427"/>
    </row>
    <row r="110" spans="1:5" ht="26" customHeight="1">
      <c r="A110" s="428"/>
      <c r="B110" s="415"/>
      <c r="C110" s="428"/>
      <c r="D110" s="429"/>
      <c r="E110" s="427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workbookViewId="0">
      <selection activeCell="B4" sqref="B4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6530.8</v>
      </c>
    </row>
    <row r="2" spans="1:5" ht="16" customHeight="1">
      <c r="A2" s="97" t="s">
        <v>261</v>
      </c>
      <c r="B2" s="200">
        <v>6100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430.8</v>
      </c>
      <c r="D3" s="2" t="s">
        <v>790</v>
      </c>
      <c r="E3" s="99">
        <f>E2-E1</f>
        <v>-6530.8</v>
      </c>
    </row>
    <row r="4" spans="1:5">
      <c r="A4" s="380"/>
      <c r="B4" s="227"/>
    </row>
    <row r="5" spans="1:5">
      <c r="A5" s="380"/>
      <c r="B5" s="227"/>
    </row>
    <row r="6" spans="1:5">
      <c r="A6" s="380"/>
      <c r="B6" s="227"/>
    </row>
    <row r="7" spans="1:5">
      <c r="A7" s="380"/>
      <c r="B7" s="227"/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"/>
  <sheetViews>
    <sheetView workbookViewId="0">
      <selection sqref="A1:E16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7406.8</v>
      </c>
    </row>
    <row r="2" spans="1:5" ht="16" customHeight="1">
      <c r="A2" s="97" t="s">
        <v>261</v>
      </c>
      <c r="B2" s="200">
        <v>7000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-7406.8</v>
      </c>
    </row>
    <row r="4" spans="1:5">
      <c r="A4" s="380"/>
      <c r="B4" s="227"/>
    </row>
    <row r="5" spans="1:5">
      <c r="A5" s="380"/>
      <c r="B5" s="227"/>
    </row>
    <row r="6" spans="1:5">
      <c r="A6" s="380"/>
      <c r="B6" s="227"/>
    </row>
    <row r="7" spans="1:5">
      <c r="A7" s="380"/>
      <c r="B7" s="227"/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6"/>
  <sheetViews>
    <sheetView workbookViewId="0">
      <selection activeCell="J23" sqref="J23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7648.77</v>
      </c>
    </row>
    <row r="2" spans="1:5" ht="16" customHeight="1">
      <c r="A2" s="97" t="s">
        <v>261</v>
      </c>
      <c r="B2" s="200">
        <v>6900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382.8</v>
      </c>
      <c r="D3" s="2" t="s">
        <v>790</v>
      </c>
      <c r="E3" s="99">
        <f>E2-E1</f>
        <v>-7648.77</v>
      </c>
    </row>
    <row r="4" spans="1:5">
      <c r="A4" s="380" t="s">
        <v>757</v>
      </c>
      <c r="B4" s="227">
        <v>365.97</v>
      </c>
    </row>
    <row r="5" spans="1:5">
      <c r="A5" s="380"/>
      <c r="B5" s="227"/>
    </row>
    <row r="6" spans="1:5">
      <c r="A6" s="380"/>
      <c r="B6" s="227"/>
    </row>
    <row r="7" spans="1:5">
      <c r="A7" s="380"/>
      <c r="B7" s="227"/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A15" s="380"/>
      <c r="B15" s="195"/>
      <c r="C15" s="195"/>
    </row>
    <row r="16" spans="1:5">
      <c r="A16" s="380"/>
      <c r="B16" s="195"/>
      <c r="C16" s="195"/>
    </row>
    <row r="17" spans="1:2">
      <c r="A17" s="380"/>
      <c r="B17" s="195"/>
    </row>
    <row r="18" spans="1:2">
      <c r="A18" s="380"/>
    </row>
    <row r="19" spans="1:2">
      <c r="A19" s="380"/>
    </row>
    <row r="20" spans="1:2">
      <c r="A20" s="380"/>
    </row>
    <row r="21" spans="1:2">
      <c r="A21" s="380"/>
    </row>
    <row r="22" spans="1:2">
      <c r="A22" s="380"/>
    </row>
    <row r="23" spans="1:2">
      <c r="A23" s="380"/>
    </row>
    <row r="24" spans="1:2">
      <c r="A24" s="380"/>
    </row>
    <row r="25" spans="1:2">
      <c r="A25" s="380"/>
    </row>
    <row r="26" spans="1:2">
      <c r="A26" s="38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"/>
  <sheetViews>
    <sheetView workbookViewId="0">
      <selection sqref="A1:E29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5332.8</v>
      </c>
    </row>
    <row r="2" spans="1:5" ht="16" customHeight="1">
      <c r="A2" s="97" t="s">
        <v>261</v>
      </c>
      <c r="B2" s="200">
        <v>4900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382.8</v>
      </c>
      <c r="D3" s="2" t="s">
        <v>790</v>
      </c>
      <c r="E3" s="99">
        <f>E2-E1</f>
        <v>-5332.8</v>
      </c>
    </row>
    <row r="4" spans="1:5">
      <c r="A4" s="380" t="s">
        <v>655</v>
      </c>
      <c r="B4" s="227">
        <v>10</v>
      </c>
    </row>
    <row r="5" spans="1:5">
      <c r="A5" s="380" t="s">
        <v>461</v>
      </c>
      <c r="B5" s="227">
        <v>40</v>
      </c>
    </row>
    <row r="6" spans="1:5">
      <c r="A6" s="380"/>
      <c r="B6" s="227"/>
    </row>
    <row r="7" spans="1:5">
      <c r="A7" s="380"/>
      <c r="B7" s="227"/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"/>
  <sheetViews>
    <sheetView workbookViewId="0">
      <selection activeCell="A8" sqref="A8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7632.6</v>
      </c>
    </row>
    <row r="2" spans="1:5" ht="16" customHeight="1">
      <c r="A2" s="97" t="s">
        <v>261</v>
      </c>
      <c r="B2" s="200">
        <v>7000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-7632.6</v>
      </c>
    </row>
    <row r="4" spans="1:5">
      <c r="A4" s="380" t="s">
        <v>791</v>
      </c>
      <c r="B4" s="227">
        <f>54.67+9.42</f>
        <v>64.09</v>
      </c>
    </row>
    <row r="5" spans="1:5">
      <c r="A5" s="380" t="s">
        <v>792</v>
      </c>
      <c r="B5" s="227">
        <v>11.6</v>
      </c>
    </row>
    <row r="6" spans="1:5">
      <c r="A6" s="380" t="s">
        <v>791</v>
      </c>
      <c r="B6" s="227">
        <v>10.11</v>
      </c>
    </row>
    <row r="7" spans="1:5">
      <c r="A7" s="380" t="s">
        <v>793</v>
      </c>
      <c r="B7" s="227">
        <v>140</v>
      </c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7"/>
  <sheetViews>
    <sheetView workbookViewId="0">
      <selection activeCell="A8" sqref="A8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6861.4800000000005</v>
      </c>
    </row>
    <row r="2" spans="1:5" ht="16" customHeight="1">
      <c r="A2" s="97" t="s">
        <v>261</v>
      </c>
      <c r="B2" s="200">
        <v>6000</v>
      </c>
      <c r="C2" s="97"/>
      <c r="D2" s="2" t="s">
        <v>788</v>
      </c>
      <c r="E2" s="99">
        <v>10596</v>
      </c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3734.5199999999995</v>
      </c>
    </row>
    <row r="4" spans="1:5">
      <c r="A4" s="380" t="s">
        <v>754</v>
      </c>
      <c r="B4" s="227">
        <f>32.41+5.44+18.08</f>
        <v>55.929999999999993</v>
      </c>
    </row>
    <row r="5" spans="1:5">
      <c r="A5" s="380" t="s">
        <v>792</v>
      </c>
      <c r="B5" s="227">
        <v>11.6</v>
      </c>
    </row>
    <row r="6" spans="1:5">
      <c r="A6" s="380" t="s">
        <v>791</v>
      </c>
      <c r="B6" s="227">
        <v>7.15</v>
      </c>
    </row>
    <row r="7" spans="1:5">
      <c r="A7" s="380" t="s">
        <v>782</v>
      </c>
      <c r="B7" s="227">
        <v>380</v>
      </c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7"/>
  <sheetViews>
    <sheetView workbookViewId="0">
      <selection activeCell="B10" sqref="B10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6720.0950000000003</v>
      </c>
    </row>
    <row r="2" spans="1:5" ht="16" customHeight="1">
      <c r="A2" s="97" t="s">
        <v>261</v>
      </c>
      <c r="B2" s="200">
        <v>5950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-6720.0950000000003</v>
      </c>
    </row>
    <row r="4" spans="1:5">
      <c r="A4" s="380" t="s">
        <v>459</v>
      </c>
      <c r="B4" s="227">
        <f>121.98/2</f>
        <v>60.99</v>
      </c>
    </row>
    <row r="5" spans="1:5">
      <c r="A5" s="380" t="s">
        <v>794</v>
      </c>
      <c r="B5" s="227">
        <v>178.07</v>
      </c>
    </row>
    <row r="6" spans="1:5">
      <c r="A6" s="380" t="s">
        <v>795</v>
      </c>
      <c r="B6" s="227">
        <f>2.06+3.12</f>
        <v>5.18</v>
      </c>
    </row>
    <row r="7" spans="1:5">
      <c r="A7" s="380" t="s">
        <v>796</v>
      </c>
      <c r="B7" s="227">
        <f>45.95/2</f>
        <v>22.975000000000001</v>
      </c>
    </row>
    <row r="8" spans="1:5">
      <c r="A8" s="380" t="s">
        <v>797</v>
      </c>
      <c r="B8" s="227">
        <f>(40+20+50+30.28)/2</f>
        <v>70.14</v>
      </c>
    </row>
    <row r="9" spans="1:5">
      <c r="A9" s="380" t="s">
        <v>797</v>
      </c>
      <c r="B9" s="227">
        <v>15.66</v>
      </c>
    </row>
    <row r="10" spans="1:5">
      <c r="A10" s="380" t="s">
        <v>797</v>
      </c>
      <c r="B10" s="227">
        <v>10.28</v>
      </c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7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7481.4250000000011</v>
      </c>
    </row>
    <row r="2" spans="1:5" ht="16" customHeight="1">
      <c r="A2" s="97" t="s">
        <v>261</v>
      </c>
      <c r="B2" s="200">
        <v>6500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-7481.4250000000011</v>
      </c>
    </row>
    <row r="4" spans="1:5">
      <c r="A4" s="380" t="s">
        <v>459</v>
      </c>
      <c r="B4" s="227">
        <f>121.98/2</f>
        <v>60.99</v>
      </c>
    </row>
    <row r="5" spans="1:5">
      <c r="A5" s="380" t="s">
        <v>794</v>
      </c>
      <c r="B5" s="227">
        <v>178.07</v>
      </c>
    </row>
    <row r="6" spans="1:5">
      <c r="A6" s="380" t="s">
        <v>754</v>
      </c>
      <c r="B6" s="227">
        <v>50.01</v>
      </c>
    </row>
    <row r="7" spans="1:5">
      <c r="A7" s="380" t="s">
        <v>798</v>
      </c>
      <c r="B7" s="227">
        <v>1.5</v>
      </c>
    </row>
    <row r="8" spans="1:5">
      <c r="A8" s="380" t="s">
        <v>799</v>
      </c>
      <c r="B8" s="227">
        <v>16</v>
      </c>
    </row>
    <row r="9" spans="1:5">
      <c r="A9" s="380" t="s">
        <v>791</v>
      </c>
      <c r="B9" s="227">
        <v>9.76</v>
      </c>
    </row>
    <row r="10" spans="1:5">
      <c r="A10" s="380" t="s">
        <v>795</v>
      </c>
      <c r="B10" s="227">
        <f>2.06+3.12</f>
        <v>5.18</v>
      </c>
      <c r="C10" s="195"/>
    </row>
    <row r="11" spans="1:5">
      <c r="A11" s="380" t="s">
        <v>796</v>
      </c>
      <c r="B11" s="227">
        <f>45.95/2</f>
        <v>22.975000000000001</v>
      </c>
      <c r="C11" s="195"/>
    </row>
    <row r="12" spans="1:5">
      <c r="A12" s="380" t="s">
        <v>797</v>
      </c>
      <c r="B12" s="227">
        <f>(40+20+50+30.28)/2</f>
        <v>70.14</v>
      </c>
      <c r="C12" s="195"/>
    </row>
    <row r="13" spans="1:5">
      <c r="A13" s="380" t="s">
        <v>777</v>
      </c>
      <c r="B13" s="227">
        <v>150</v>
      </c>
      <c r="C13" s="195"/>
    </row>
    <row r="14" spans="1:5">
      <c r="A14" s="380" t="s">
        <v>791</v>
      </c>
      <c r="B14" s="227">
        <v>10</v>
      </c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7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6194.8</v>
      </c>
    </row>
    <row r="2" spans="1:5" ht="16" customHeight="1">
      <c r="A2" s="97" t="s">
        <v>261</v>
      </c>
      <c r="B2" s="200">
        <v>5700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-6194.8</v>
      </c>
    </row>
    <row r="4" spans="1:5">
      <c r="A4" s="380" t="s">
        <v>655</v>
      </c>
      <c r="B4" s="227">
        <v>8</v>
      </c>
    </row>
    <row r="5" spans="1:5">
      <c r="A5" s="380" t="s">
        <v>465</v>
      </c>
      <c r="B5" s="227">
        <v>80</v>
      </c>
    </row>
    <row r="6" spans="1:5">
      <c r="A6" s="380"/>
      <c r="B6" s="227"/>
    </row>
    <row r="7" spans="1:5">
      <c r="A7" s="380"/>
      <c r="B7" s="227"/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7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6454.8</v>
      </c>
    </row>
    <row r="2" spans="1:5" ht="16" customHeight="1">
      <c r="A2" s="97" t="s">
        <v>261</v>
      </c>
      <c r="B2" s="200">
        <v>5400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-6454.8</v>
      </c>
    </row>
    <row r="4" spans="1:5">
      <c r="A4" s="380" t="s">
        <v>800</v>
      </c>
      <c r="B4" s="227">
        <v>60</v>
      </c>
    </row>
    <row r="5" spans="1:5">
      <c r="A5" s="380" t="s">
        <v>655</v>
      </c>
      <c r="B5" s="227">
        <v>80</v>
      </c>
    </row>
    <row r="6" spans="1:5">
      <c r="A6" s="380" t="s">
        <v>777</v>
      </c>
      <c r="B6" s="227">
        <v>500</v>
      </c>
    </row>
    <row r="7" spans="1:5">
      <c r="A7" s="380" t="s">
        <v>799</v>
      </c>
      <c r="B7" s="227">
        <v>8</v>
      </c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7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8347.3200000000015</v>
      </c>
    </row>
    <row r="2" spans="1:5" ht="16" customHeight="1">
      <c r="A2" s="97" t="s">
        <v>261</v>
      </c>
      <c r="B2" s="200">
        <f>'Sold Stock'!F116</f>
        <v>8246.7000000000007</v>
      </c>
      <c r="C2" s="97"/>
      <c r="D2" s="2" t="s">
        <v>788</v>
      </c>
      <c r="E2" s="99"/>
    </row>
    <row r="3" spans="1:5" ht="16" customHeight="1">
      <c r="A3" s="2" t="s">
        <v>754</v>
      </c>
      <c r="B3" s="227">
        <v>7.03</v>
      </c>
      <c r="D3" s="2" t="s">
        <v>790</v>
      </c>
      <c r="E3" s="99">
        <f>E2-E1</f>
        <v>-8347.3200000000015</v>
      </c>
    </row>
    <row r="4" spans="1:5">
      <c r="A4" s="380" t="s">
        <v>801</v>
      </c>
      <c r="B4" s="227">
        <v>80</v>
      </c>
    </row>
    <row r="5" spans="1:5">
      <c r="A5" s="380" t="s">
        <v>802</v>
      </c>
      <c r="B5" s="227">
        <v>13.59</v>
      </c>
    </row>
    <row r="6" spans="1:5">
      <c r="A6" s="380"/>
      <c r="B6" s="227"/>
    </row>
    <row r="7" spans="1:5">
      <c r="A7" s="380"/>
      <c r="B7" s="227"/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7"/>
  <sheetViews>
    <sheetView workbookViewId="0">
      <selection activeCell="A16" sqref="A16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9186.0299999999988</v>
      </c>
    </row>
    <row r="2" spans="1:5" ht="16" customHeight="1">
      <c r="A2" s="97" t="s">
        <v>261</v>
      </c>
      <c r="B2" s="200">
        <v>7964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442.8</v>
      </c>
      <c r="D3" s="2" t="s">
        <v>790</v>
      </c>
      <c r="E3" s="99">
        <f>E2-E1</f>
        <v>-9186.0299999999988</v>
      </c>
    </row>
    <row r="4" spans="1:5">
      <c r="A4" s="380" t="s">
        <v>450</v>
      </c>
      <c r="B4" s="227">
        <v>24.95</v>
      </c>
    </row>
    <row r="5" spans="1:5">
      <c r="A5" s="380" t="s">
        <v>451</v>
      </c>
      <c r="B5" s="227">
        <v>7.95</v>
      </c>
    </row>
    <row r="6" spans="1:5">
      <c r="A6" s="380" t="s">
        <v>754</v>
      </c>
      <c r="B6" s="227">
        <v>32.33</v>
      </c>
    </row>
    <row r="7" spans="1:5">
      <c r="A7" s="380" t="s">
        <v>792</v>
      </c>
      <c r="B7" s="227">
        <v>11.4</v>
      </c>
    </row>
    <row r="8" spans="1:5">
      <c r="A8" s="380" t="s">
        <v>452</v>
      </c>
      <c r="B8" s="227">
        <v>3.3</v>
      </c>
    </row>
    <row r="9" spans="1:5">
      <c r="A9" s="380" t="s">
        <v>777</v>
      </c>
      <c r="B9" s="227">
        <v>400</v>
      </c>
    </row>
    <row r="10" spans="1:5">
      <c r="A10" s="380" t="s">
        <v>754</v>
      </c>
      <c r="B10" s="227">
        <v>10.050000000000001</v>
      </c>
      <c r="C10" s="195"/>
    </row>
    <row r="11" spans="1:5">
      <c r="A11" s="380" t="s">
        <v>803</v>
      </c>
      <c r="B11" s="227">
        <v>220</v>
      </c>
      <c r="C11" s="195"/>
    </row>
    <row r="12" spans="1:5">
      <c r="A12" s="380" t="s">
        <v>799</v>
      </c>
      <c r="B12" s="227">
        <v>16</v>
      </c>
      <c r="C12" s="195"/>
    </row>
    <row r="13" spans="1:5">
      <c r="A13" s="380" t="s">
        <v>804</v>
      </c>
      <c r="B13" s="227">
        <v>27.59</v>
      </c>
      <c r="C13" s="195"/>
    </row>
    <row r="14" spans="1:5">
      <c r="A14" s="380" t="s">
        <v>805</v>
      </c>
      <c r="B14" s="227">
        <v>15.24</v>
      </c>
      <c r="C14" s="195"/>
    </row>
    <row r="15" spans="1:5">
      <c r="A15" s="380" t="s">
        <v>754</v>
      </c>
      <c r="B15" s="195">
        <v>10.42</v>
      </c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8"/>
  <sheetViews>
    <sheetView zoomScaleNormal="100" zoomScaleSheetLayoutView="100" workbookViewId="0">
      <selection activeCell="E4" sqref="E4"/>
    </sheetView>
  </sheetViews>
  <sheetFormatPr baseColWidth="10" defaultColWidth="8.83203125" defaultRowHeight="15"/>
  <cols>
    <col min="2" max="2" width="11.33203125" bestFit="1" customWidth="1"/>
    <col min="5" max="5" width="16.6640625" customWidth="1"/>
  </cols>
  <sheetData>
    <row r="1" spans="1:19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6409.9900000000007</v>
      </c>
    </row>
    <row r="2" spans="1:19" ht="16" customHeight="1">
      <c r="A2" s="97" t="s">
        <v>261</v>
      </c>
      <c r="B2" s="200">
        <v>5950</v>
      </c>
      <c r="C2" s="97"/>
      <c r="D2" s="2" t="s">
        <v>788</v>
      </c>
      <c r="E2" s="99"/>
    </row>
    <row r="3" spans="1:19" ht="32" customHeight="1">
      <c r="A3" s="2" t="s">
        <v>789</v>
      </c>
      <c r="B3" s="227">
        <v>406.8</v>
      </c>
      <c r="D3" s="2" t="s">
        <v>790</v>
      </c>
      <c r="E3" s="99">
        <f>E2-E1</f>
        <v>-6409.9900000000007</v>
      </c>
    </row>
    <row r="4" spans="1:19">
      <c r="A4" s="380" t="s">
        <v>754</v>
      </c>
      <c r="B4" s="227">
        <v>50.1</v>
      </c>
    </row>
    <row r="5" spans="1:19">
      <c r="A5" s="380" t="s">
        <v>806</v>
      </c>
      <c r="B5" s="227">
        <v>3.09</v>
      </c>
    </row>
    <row r="6" spans="1:19">
      <c r="A6" s="380"/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</row>
    <row r="7" spans="1:19">
      <c r="A7" s="380"/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</row>
    <row r="8" spans="1:19">
      <c r="A8" s="380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</row>
    <row r="9" spans="1:19">
      <c r="A9" s="380"/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</row>
    <row r="10" spans="1:19">
      <c r="A10" s="380"/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</row>
    <row r="11" spans="1:19">
      <c r="A11" s="380"/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</row>
    <row r="12" spans="1:19">
      <c r="A12" s="380"/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</row>
    <row r="13" spans="1:19">
      <c r="A13" s="380"/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</row>
    <row r="14" spans="1:19">
      <c r="A14" s="380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</row>
    <row r="15" spans="1:19"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</row>
    <row r="16" spans="1:19"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</row>
    <row r="17" spans="2:19">
      <c r="B17" s="227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</row>
    <row r="18" spans="2:19"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</row>
    <row r="19" spans="2:19"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</row>
    <row r="20" spans="2:19"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</row>
    <row r="21" spans="2:19">
      <c r="B21" s="227"/>
      <c r="C21" s="227"/>
      <c r="D21" s="227"/>
    </row>
    <row r="24" spans="2:19"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</row>
    <row r="25" spans="2:19"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</row>
    <row r="26" spans="2:19"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</row>
    <row r="27" spans="2:19"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</row>
    <row r="28" spans="2:19"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</row>
    <row r="29" spans="2:19"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</row>
    <row r="30" spans="2:19"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</row>
    <row r="31" spans="2:19"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</row>
    <row r="32" spans="2:19"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</row>
    <row r="33" spans="5:19"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</row>
    <row r="34" spans="5:19"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</row>
    <row r="35" spans="5:19"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</row>
    <row r="36" spans="5:19"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</row>
    <row r="37" spans="5:19"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</row>
    <row r="38" spans="5:19"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"/>
  <sheetViews>
    <sheetView workbookViewId="0">
      <selection activeCell="C20" sqref="C20:C2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6701.75</v>
      </c>
    </row>
    <row r="2" spans="1:5" ht="16" customHeight="1">
      <c r="A2" s="97" t="s">
        <v>261</v>
      </c>
      <c r="B2" s="200">
        <v>5850</v>
      </c>
      <c r="C2" s="97"/>
      <c r="D2" s="2" t="s">
        <v>788</v>
      </c>
      <c r="E2" s="99"/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-6701.75</v>
      </c>
    </row>
    <row r="4" spans="1:5">
      <c r="A4" s="380" t="s">
        <v>754</v>
      </c>
      <c r="B4" s="227">
        <v>15</v>
      </c>
    </row>
    <row r="5" spans="1:5">
      <c r="A5" s="380" t="s">
        <v>777</v>
      </c>
      <c r="B5" s="227">
        <v>400</v>
      </c>
    </row>
    <row r="6" spans="1:5">
      <c r="A6" s="380" t="s">
        <v>791</v>
      </c>
      <c r="B6" s="227">
        <v>21.95</v>
      </c>
    </row>
    <row r="7" spans="1:5">
      <c r="A7" s="380" t="s">
        <v>799</v>
      </c>
      <c r="B7" s="227">
        <v>8</v>
      </c>
    </row>
    <row r="8" spans="1:5">
      <c r="A8" s="380"/>
      <c r="B8" s="227"/>
    </row>
    <row r="9" spans="1:5">
      <c r="A9" s="380"/>
      <c r="B9" s="227"/>
    </row>
    <row r="10" spans="1:5">
      <c r="A10" s="380"/>
      <c r="B10" s="227"/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7"/>
  <sheetViews>
    <sheetView workbookViewId="0">
      <selection activeCell="B8" sqref="B8"/>
    </sheetView>
  </sheetViews>
  <sheetFormatPr baseColWidth="10" defaultColWidth="11.5" defaultRowHeight="15"/>
  <sheetData>
    <row r="1" spans="1:6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8558.7799999999988</v>
      </c>
    </row>
    <row r="2" spans="1:6" ht="16" customHeight="1">
      <c r="A2" s="97" t="s">
        <v>261</v>
      </c>
      <c r="B2" s="200">
        <v>8000</v>
      </c>
      <c r="C2" s="97"/>
      <c r="D2" s="2" t="s">
        <v>788</v>
      </c>
      <c r="E2" s="99">
        <v>12075</v>
      </c>
    </row>
    <row r="3" spans="1:6" ht="16" customHeight="1">
      <c r="A3" s="2" t="s">
        <v>789</v>
      </c>
      <c r="B3" s="227">
        <v>442.8</v>
      </c>
      <c r="D3" s="2" t="s">
        <v>790</v>
      </c>
      <c r="E3" s="99">
        <f>E2-E1</f>
        <v>3516.2200000000012</v>
      </c>
      <c r="F3" s="162"/>
    </row>
    <row r="4" spans="1:6">
      <c r="A4" s="380" t="s">
        <v>655</v>
      </c>
      <c r="B4" s="227">
        <v>8</v>
      </c>
    </row>
    <row r="5" spans="1:6">
      <c r="A5" s="380" t="s">
        <v>754</v>
      </c>
      <c r="B5" s="227">
        <v>9.68</v>
      </c>
    </row>
    <row r="6" spans="1:6">
      <c r="A6" s="380" t="s">
        <v>760</v>
      </c>
      <c r="B6" s="227">
        <v>40</v>
      </c>
    </row>
    <row r="7" spans="1:6">
      <c r="A7" s="380" t="s">
        <v>807</v>
      </c>
      <c r="B7" s="227">
        <v>58.3</v>
      </c>
    </row>
    <row r="8" spans="1:6">
      <c r="A8" s="380"/>
      <c r="B8" s="227"/>
    </row>
    <row r="9" spans="1:6">
      <c r="A9" s="380"/>
      <c r="B9" s="227"/>
    </row>
    <row r="10" spans="1:6">
      <c r="A10" s="380"/>
      <c r="B10" s="227"/>
      <c r="C10" s="195"/>
    </row>
    <row r="11" spans="1:6">
      <c r="A11" s="380"/>
      <c r="B11" s="227"/>
      <c r="C11" s="195"/>
    </row>
    <row r="12" spans="1:6">
      <c r="A12" s="380"/>
      <c r="B12" s="227"/>
      <c r="C12" s="195"/>
    </row>
    <row r="13" spans="1:6">
      <c r="A13" s="380"/>
      <c r="B13" s="227"/>
      <c r="C13" s="195"/>
    </row>
    <row r="14" spans="1:6">
      <c r="A14" s="380"/>
      <c r="B14" s="227"/>
      <c r="C14" s="195"/>
    </row>
    <row r="15" spans="1:6">
      <c r="B15" s="195"/>
      <c r="C15" s="195"/>
    </row>
    <row r="16" spans="1:6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7"/>
  <sheetViews>
    <sheetView workbookViewId="0">
      <selection activeCell="B8" sqref="B8"/>
    </sheetView>
  </sheetViews>
  <sheetFormatPr baseColWidth="10" defaultColWidth="11.5" defaultRowHeight="15"/>
  <sheetData>
    <row r="1" spans="1:7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8246.7000000000007</v>
      </c>
    </row>
    <row r="2" spans="1:7" ht="16" customHeight="1">
      <c r="A2" s="97" t="s">
        <v>261</v>
      </c>
      <c r="B2" s="200">
        <v>7725</v>
      </c>
      <c r="C2" s="97"/>
      <c r="D2" s="2" t="s">
        <v>788</v>
      </c>
      <c r="E2" s="99">
        <f>E1</f>
        <v>8246.7000000000007</v>
      </c>
    </row>
    <row r="3" spans="1:7" ht="16" customHeight="1">
      <c r="A3" s="2" t="s">
        <v>789</v>
      </c>
      <c r="B3" s="227">
        <v>406.8</v>
      </c>
      <c r="D3" s="2" t="s">
        <v>790</v>
      </c>
      <c r="E3" s="99">
        <f>E2-E1</f>
        <v>0</v>
      </c>
      <c r="G3" s="99"/>
    </row>
    <row r="4" spans="1:7">
      <c r="A4" s="380" t="s">
        <v>808</v>
      </c>
      <c r="B4" s="227">
        <v>6.17</v>
      </c>
    </row>
    <row r="5" spans="1:7">
      <c r="A5" s="380" t="s">
        <v>655</v>
      </c>
      <c r="B5" s="227">
        <v>16</v>
      </c>
    </row>
    <row r="6" spans="1:7">
      <c r="A6" s="380" t="s">
        <v>42</v>
      </c>
      <c r="B6" s="227">
        <v>77.72</v>
      </c>
    </row>
    <row r="7" spans="1:7">
      <c r="A7" s="380" t="s">
        <v>754</v>
      </c>
      <c r="B7" s="227">
        <v>15.01</v>
      </c>
    </row>
    <row r="8" spans="1:7">
      <c r="A8" s="380"/>
      <c r="B8" s="227"/>
    </row>
    <row r="9" spans="1:7">
      <c r="A9" s="380"/>
      <c r="B9" s="227"/>
    </row>
    <row r="10" spans="1:7">
      <c r="A10" s="380"/>
      <c r="B10" s="227"/>
      <c r="C10" s="195"/>
    </row>
    <row r="11" spans="1:7">
      <c r="A11" s="380"/>
      <c r="B11" s="227"/>
      <c r="C11" s="195"/>
    </row>
    <row r="12" spans="1:7">
      <c r="A12" s="380"/>
      <c r="B12" s="227"/>
      <c r="C12" s="195"/>
    </row>
    <row r="13" spans="1:7">
      <c r="A13" s="380"/>
      <c r="B13" s="227"/>
      <c r="C13" s="195"/>
    </row>
    <row r="14" spans="1:7">
      <c r="A14" s="380"/>
      <c r="B14" s="227"/>
      <c r="C14" s="195"/>
    </row>
    <row r="15" spans="1:7">
      <c r="B15" s="195"/>
      <c r="C15" s="195"/>
    </row>
    <row r="16" spans="1:7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7"/>
  <sheetViews>
    <sheetView workbookViewId="0">
      <selection activeCell="D7" sqref="D7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7944.2750000000005</v>
      </c>
    </row>
    <row r="2" spans="1:5" ht="16" customHeight="1">
      <c r="A2" s="97" t="s">
        <v>261</v>
      </c>
      <c r="B2" s="200">
        <v>7300</v>
      </c>
      <c r="C2" s="97"/>
      <c r="D2" s="2" t="s">
        <v>788</v>
      </c>
      <c r="E2" s="99">
        <v>10250</v>
      </c>
    </row>
    <row r="3" spans="1:5" ht="16" customHeight="1">
      <c r="A3" s="2" t="s">
        <v>789</v>
      </c>
      <c r="B3" s="227">
        <v>406.8</v>
      </c>
      <c r="D3" s="2" t="s">
        <v>790</v>
      </c>
      <c r="E3" s="99">
        <f>E2-E1</f>
        <v>2305.7249999999995</v>
      </c>
    </row>
    <row r="4" spans="1:5">
      <c r="A4" s="380" t="s">
        <v>754</v>
      </c>
      <c r="B4" s="227">
        <f>65.01/2</f>
        <v>32.505000000000003</v>
      </c>
    </row>
    <row r="5" spans="1:5">
      <c r="A5" s="380" t="s">
        <v>754</v>
      </c>
      <c r="B5" s="227">
        <v>9.8000000000000007</v>
      </c>
    </row>
    <row r="6" spans="1:5">
      <c r="A6" s="380" t="s">
        <v>801</v>
      </c>
      <c r="B6" s="227">
        <v>80</v>
      </c>
      <c r="D6" s="350">
        <f>B4+B5+B10</f>
        <v>51.175000000000004</v>
      </c>
    </row>
    <row r="7" spans="1:5">
      <c r="A7" s="380" t="s">
        <v>655</v>
      </c>
      <c r="B7" s="227">
        <v>8</v>
      </c>
    </row>
    <row r="8" spans="1:5">
      <c r="A8" s="380" t="s">
        <v>760</v>
      </c>
      <c r="B8" s="227">
        <v>40</v>
      </c>
    </row>
    <row r="9" spans="1:5">
      <c r="A9" s="380" t="s">
        <v>42</v>
      </c>
      <c r="B9" s="227">
        <v>58.3</v>
      </c>
    </row>
    <row r="10" spans="1:5">
      <c r="A10" s="380" t="s">
        <v>754</v>
      </c>
      <c r="B10" s="227">
        <v>8.8699999999999992</v>
      </c>
      <c r="C10" s="195"/>
    </row>
    <row r="11" spans="1:5">
      <c r="A11" s="380"/>
      <c r="B11" s="227"/>
      <c r="C11" s="195"/>
    </row>
    <row r="12" spans="1:5">
      <c r="A12" s="380"/>
      <c r="B12" s="227"/>
      <c r="C12" s="195"/>
    </row>
    <row r="13" spans="1:5">
      <c r="A13" s="380"/>
      <c r="B13" s="227"/>
      <c r="C13" s="195"/>
    </row>
    <row r="14" spans="1:5">
      <c r="A14" s="380"/>
      <c r="B14" s="227"/>
      <c r="C14" s="195"/>
    </row>
    <row r="15" spans="1:5">
      <c r="B15" s="195"/>
      <c r="C15" s="195"/>
    </row>
    <row r="16" spans="1:5">
      <c r="B16" s="195"/>
      <c r="C16" s="195"/>
    </row>
    <row r="17" spans="2:2">
      <c r="B17" s="19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0"/>
  <sheetViews>
    <sheetView workbookViewId="0">
      <selection activeCell="A9" sqref="A9"/>
    </sheetView>
  </sheetViews>
  <sheetFormatPr baseColWidth="10" defaultColWidth="8.83203125" defaultRowHeight="15"/>
  <cols>
    <col min="2" max="2" width="10.33203125" bestFit="1" customWidth="1"/>
    <col min="4" max="4" width="11.33203125" customWidth="1"/>
    <col min="5" max="5" width="10.33203125" customWidth="1"/>
  </cols>
  <sheetData>
    <row r="1" spans="1:5" ht="16" customHeight="1">
      <c r="A1" s="296" t="s">
        <v>787</v>
      </c>
      <c r="B1" s="297" t="s">
        <v>439</v>
      </c>
      <c r="C1" s="296"/>
      <c r="D1" s="2" t="s">
        <v>28</v>
      </c>
      <c r="E1" s="99">
        <f>SUM(B$2:B$1048576)</f>
        <v>5095.16</v>
      </c>
    </row>
    <row r="2" spans="1:5" ht="16" customHeight="1">
      <c r="A2" s="296" t="s">
        <v>809</v>
      </c>
      <c r="B2" s="298">
        <v>4800</v>
      </c>
      <c r="C2" s="296"/>
      <c r="D2" s="2" t="s">
        <v>788</v>
      </c>
      <c r="E2" s="99"/>
    </row>
    <row r="3" spans="1:5" ht="16" customHeight="1">
      <c r="A3" s="150" t="s">
        <v>760</v>
      </c>
      <c r="B3" s="163">
        <v>40</v>
      </c>
      <c r="C3" s="298"/>
      <c r="D3" s="2" t="s">
        <v>790</v>
      </c>
      <c r="E3" s="99">
        <f>E2-E1</f>
        <v>-5095.16</v>
      </c>
    </row>
    <row r="4" spans="1:5">
      <c r="A4" s="150" t="s">
        <v>754</v>
      </c>
      <c r="B4" s="299">
        <v>20.010000000000002</v>
      </c>
    </row>
    <row r="5" spans="1:5">
      <c r="A5" s="150" t="s">
        <v>655</v>
      </c>
      <c r="B5" s="299">
        <v>16</v>
      </c>
    </row>
    <row r="6" spans="1:5">
      <c r="A6" s="150" t="s">
        <v>777</v>
      </c>
      <c r="B6" s="299">
        <v>150</v>
      </c>
    </row>
    <row r="7" spans="1:5">
      <c r="A7" s="150" t="s">
        <v>757</v>
      </c>
      <c r="B7" s="299">
        <v>60</v>
      </c>
    </row>
    <row r="8" spans="1:5">
      <c r="A8" s="150" t="s">
        <v>797</v>
      </c>
      <c r="B8" s="299">
        <v>9.15</v>
      </c>
    </row>
    <row r="9" spans="1:5">
      <c r="B9" s="299"/>
    </row>
    <row r="10" spans="1:5">
      <c r="B10" s="29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6"/>
  <sheetViews>
    <sheetView workbookViewId="0">
      <selection activeCell="A6" sqref="A6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6002.8</v>
      </c>
    </row>
    <row r="2" spans="1:5" ht="16" customHeight="1">
      <c r="A2" s="97" t="s">
        <v>809</v>
      </c>
      <c r="B2" s="200">
        <v>5300</v>
      </c>
      <c r="C2" s="97"/>
      <c r="D2" s="2" t="s">
        <v>788</v>
      </c>
      <c r="E2" s="99"/>
    </row>
    <row r="3" spans="1:5" ht="16" customHeight="1">
      <c r="A3" s="380" t="s">
        <v>789</v>
      </c>
      <c r="B3" s="195">
        <v>382.8</v>
      </c>
      <c r="C3" s="200"/>
      <c r="D3" s="2" t="s">
        <v>790</v>
      </c>
      <c r="E3" s="99">
        <f>E2-E1</f>
        <v>-6002.8</v>
      </c>
    </row>
    <row r="4" spans="1:5">
      <c r="A4" s="97" t="s">
        <v>810</v>
      </c>
      <c r="B4" s="195">
        <f>100+120+80</f>
        <v>300</v>
      </c>
      <c r="C4" s="195"/>
    </row>
    <row r="5" spans="1:5">
      <c r="A5" s="97" t="s">
        <v>811</v>
      </c>
      <c r="B5" s="195">
        <v>20</v>
      </c>
      <c r="C5" s="195"/>
    </row>
    <row r="6" spans="1:5">
      <c r="B6" s="195"/>
      <c r="C6" s="195"/>
    </row>
    <row r="7" spans="1:5">
      <c r="B7" s="195"/>
      <c r="C7" s="195"/>
    </row>
    <row r="8" spans="1:5">
      <c r="B8" s="195"/>
      <c r="C8" s="195"/>
    </row>
    <row r="9" spans="1:5">
      <c r="B9" s="195"/>
      <c r="C9" s="195"/>
    </row>
    <row r="10" spans="1:5">
      <c r="B10" s="195"/>
      <c r="C10" s="195"/>
    </row>
    <row r="11" spans="1:5">
      <c r="B11" s="195"/>
      <c r="C11" s="195"/>
    </row>
    <row r="12" spans="1:5">
      <c r="B12" s="195"/>
      <c r="C12" s="195"/>
    </row>
    <row r="13" spans="1:5">
      <c r="B13" s="195"/>
      <c r="C13" s="195"/>
    </row>
    <row r="14" spans="1:5">
      <c r="B14" s="195"/>
      <c r="C14" s="195"/>
    </row>
    <row r="15" spans="1:5">
      <c r="B15" s="195"/>
      <c r="C15" s="195"/>
    </row>
    <row r="16" spans="1:5">
      <c r="B16" s="195"/>
      <c r="C16" s="19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6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7952.26</v>
      </c>
    </row>
    <row r="2" spans="1:5" ht="16" customHeight="1">
      <c r="A2" s="97" t="s">
        <v>261</v>
      </c>
      <c r="B2" s="200">
        <v>7100</v>
      </c>
      <c r="C2" s="97"/>
      <c r="D2" s="2" t="s">
        <v>788</v>
      </c>
      <c r="E2" s="99"/>
    </row>
    <row r="3" spans="1:5" ht="16" customHeight="1">
      <c r="A3" s="380" t="s">
        <v>789</v>
      </c>
      <c r="B3" s="195">
        <v>406.8</v>
      </c>
      <c r="C3" s="200"/>
      <c r="D3" s="2" t="s">
        <v>790</v>
      </c>
      <c r="E3" s="99">
        <f>E2-E1</f>
        <v>-7952.26</v>
      </c>
    </row>
    <row r="4" spans="1:5">
      <c r="A4" s="97" t="s">
        <v>798</v>
      </c>
      <c r="B4" s="195">
        <v>1.5</v>
      </c>
      <c r="C4" s="195"/>
    </row>
    <row r="5" spans="1:5">
      <c r="A5" s="97" t="s">
        <v>812</v>
      </c>
      <c r="B5" s="195">
        <v>71.5</v>
      </c>
      <c r="C5" s="195"/>
    </row>
    <row r="6" spans="1:5">
      <c r="A6" s="97" t="s">
        <v>813</v>
      </c>
      <c r="B6" s="195">
        <v>9.81</v>
      </c>
      <c r="C6" s="195"/>
    </row>
    <row r="7" spans="1:5">
      <c r="A7" s="97" t="s">
        <v>655</v>
      </c>
      <c r="B7" s="195">
        <v>15</v>
      </c>
      <c r="C7" s="195"/>
    </row>
    <row r="8" spans="1:5">
      <c r="A8" s="380" t="s">
        <v>814</v>
      </c>
      <c r="B8" s="195">
        <v>22.65</v>
      </c>
      <c r="C8" s="195"/>
    </row>
    <row r="9" spans="1:5">
      <c r="A9" s="380" t="s">
        <v>815</v>
      </c>
      <c r="B9" s="195">
        <v>60</v>
      </c>
      <c r="C9" s="195"/>
    </row>
    <row r="10" spans="1:5">
      <c r="A10" s="380" t="s">
        <v>777</v>
      </c>
      <c r="B10" s="195">
        <v>250</v>
      </c>
      <c r="C10" s="195"/>
    </row>
    <row r="11" spans="1:5">
      <c r="A11" s="380" t="s">
        <v>791</v>
      </c>
      <c r="B11" s="195">
        <v>15</v>
      </c>
      <c r="C11" s="195"/>
    </row>
    <row r="12" spans="1:5">
      <c r="B12" s="195"/>
      <c r="C12" s="195"/>
    </row>
    <row r="13" spans="1:5">
      <c r="B13" s="195"/>
      <c r="C13" s="195"/>
    </row>
    <row r="14" spans="1:5">
      <c r="B14" s="195"/>
      <c r="C14" s="195"/>
    </row>
    <row r="15" spans="1:5">
      <c r="B15" s="195"/>
      <c r="C15" s="195"/>
    </row>
    <row r="16" spans="1:5">
      <c r="B16" s="195"/>
      <c r="C16" s="19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8"/>
  <sheetViews>
    <sheetView workbookViewId="0">
      <selection activeCell="C11" sqref="C1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5336.28</v>
      </c>
    </row>
    <row r="2" spans="1:5" ht="16" customHeight="1">
      <c r="A2" s="97" t="s">
        <v>261</v>
      </c>
      <c r="B2" s="200">
        <v>4500</v>
      </c>
      <c r="C2" s="97"/>
      <c r="D2" s="2" t="s">
        <v>788</v>
      </c>
      <c r="E2" s="99">
        <v>7200</v>
      </c>
    </row>
    <row r="3" spans="1:5" ht="16" customHeight="1">
      <c r="A3" s="97" t="s">
        <v>789</v>
      </c>
      <c r="B3" s="200">
        <v>406.8</v>
      </c>
      <c r="C3" s="97"/>
      <c r="D3" s="2" t="s">
        <v>790</v>
      </c>
      <c r="E3" s="99">
        <f>E2-E1</f>
        <v>1863.7200000000003</v>
      </c>
    </row>
    <row r="4" spans="1:5">
      <c r="A4" s="97" t="s">
        <v>816</v>
      </c>
      <c r="B4" s="195">
        <v>32</v>
      </c>
    </row>
    <row r="5" spans="1:5">
      <c r="A5" s="97" t="s">
        <v>655</v>
      </c>
      <c r="B5" s="195">
        <v>16</v>
      </c>
    </row>
    <row r="6" spans="1:5">
      <c r="A6" s="380" t="s">
        <v>754</v>
      </c>
      <c r="B6" s="195">
        <f>41.56/2</f>
        <v>20.78</v>
      </c>
    </row>
    <row r="7" spans="1:5">
      <c r="A7" s="380" t="s">
        <v>777</v>
      </c>
      <c r="B7" s="195">
        <v>250</v>
      </c>
    </row>
    <row r="8" spans="1:5">
      <c r="A8" s="380" t="s">
        <v>754</v>
      </c>
      <c r="B8" s="195">
        <v>10.130000000000001</v>
      </c>
    </row>
    <row r="9" spans="1:5">
      <c r="A9" s="380" t="s">
        <v>817</v>
      </c>
      <c r="B9" s="195">
        <v>12.99</v>
      </c>
    </row>
    <row r="10" spans="1:5">
      <c r="A10" s="380" t="s">
        <v>754</v>
      </c>
      <c r="B10" s="195">
        <v>9.86</v>
      </c>
    </row>
    <row r="11" spans="1:5">
      <c r="A11" s="380" t="s">
        <v>42</v>
      </c>
      <c r="B11" s="195">
        <v>77.72</v>
      </c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  <row r="34" spans="2:2">
      <c r="B34" s="195"/>
    </row>
    <row r="35" spans="2:2">
      <c r="B35" s="195"/>
    </row>
    <row r="36" spans="2:2">
      <c r="B36" s="195"/>
    </row>
    <row r="37" spans="2:2">
      <c r="B37" s="195"/>
    </row>
    <row r="38" spans="2:2">
      <c r="B38" s="195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5"/>
  <sheetViews>
    <sheetView workbookViewId="0">
      <selection activeCell="O21" sqref="O2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3385.5299999999997</v>
      </c>
    </row>
    <row r="2" spans="1:5" ht="16" customHeight="1">
      <c r="A2" s="97" t="s">
        <v>313</v>
      </c>
      <c r="B2" s="200">
        <v>3093.24</v>
      </c>
      <c r="C2" s="97"/>
      <c r="D2" s="2" t="s">
        <v>788</v>
      </c>
      <c r="E2" s="99">
        <v>7989.29</v>
      </c>
    </row>
    <row r="3" spans="1:5" ht="16" customHeight="1">
      <c r="A3" t="s">
        <v>443</v>
      </c>
      <c r="B3" s="195">
        <v>30</v>
      </c>
      <c r="C3" s="200"/>
      <c r="D3" s="2" t="s">
        <v>790</v>
      </c>
      <c r="E3" s="99">
        <f>E2-E1</f>
        <v>4603.76</v>
      </c>
    </row>
    <row r="4" spans="1:5">
      <c r="A4" s="97" t="s">
        <v>757</v>
      </c>
      <c r="B4" s="195">
        <v>60</v>
      </c>
      <c r="C4" s="195"/>
    </row>
    <row r="5" spans="1:5">
      <c r="A5" s="97" t="s">
        <v>655</v>
      </c>
      <c r="B5" s="195">
        <v>8</v>
      </c>
      <c r="C5" s="195"/>
    </row>
    <row r="6" spans="1:5">
      <c r="A6" s="380" t="s">
        <v>42</v>
      </c>
      <c r="B6" s="195">
        <v>194.29</v>
      </c>
      <c r="C6" s="195"/>
    </row>
    <row r="7" spans="1:5">
      <c r="B7" s="195"/>
      <c r="C7" s="195"/>
    </row>
    <row r="8" spans="1:5">
      <c r="B8" s="195"/>
      <c r="C8" s="195"/>
    </row>
    <row r="9" spans="1:5">
      <c r="B9" s="195"/>
      <c r="C9" s="195"/>
    </row>
    <row r="10" spans="1:5">
      <c r="B10" s="195"/>
      <c r="C10" s="195"/>
    </row>
    <row r="11" spans="1:5">
      <c r="B11" s="195"/>
      <c r="C11" s="195"/>
    </row>
    <row r="12" spans="1:5">
      <c r="B12" s="195"/>
      <c r="C12" s="195"/>
    </row>
    <row r="13" spans="1:5">
      <c r="B13" s="195"/>
      <c r="C13" s="195"/>
    </row>
    <row r="14" spans="1:5">
      <c r="B14" s="195"/>
      <c r="C14" s="195"/>
    </row>
    <row r="15" spans="1:5">
      <c r="B15" s="195"/>
      <c r="C15" s="195"/>
    </row>
    <row r="16" spans="1:5">
      <c r="B16" s="195"/>
      <c r="C16" s="195"/>
    </row>
    <row r="17" spans="2:3">
      <c r="B17" s="195"/>
      <c r="C17" s="195"/>
    </row>
    <row r="18" spans="2:3">
      <c r="B18" s="195"/>
      <c r="C18" s="195"/>
    </row>
    <row r="19" spans="2:3">
      <c r="B19" s="195"/>
      <c r="C19" s="195"/>
    </row>
    <row r="20" spans="2:3">
      <c r="B20" s="195"/>
      <c r="C20" s="195"/>
    </row>
    <row r="21" spans="2:3">
      <c r="B21" s="195"/>
      <c r="C21" s="195"/>
    </row>
    <row r="22" spans="2:3">
      <c r="B22" s="195"/>
      <c r="C22" s="195"/>
    </row>
    <row r="23" spans="2:3">
      <c r="B23" s="195"/>
      <c r="C23" s="195"/>
    </row>
    <row r="24" spans="2:3">
      <c r="B24" s="195"/>
      <c r="C24" s="195"/>
    </row>
    <row r="25" spans="2:3">
      <c r="B25" s="195"/>
    </row>
    <row r="26" spans="2:3">
      <c r="B26" s="195"/>
    </row>
    <row r="27" spans="2:3">
      <c r="B27" s="195"/>
    </row>
    <row r="28" spans="2:3">
      <c r="B28" s="195"/>
    </row>
    <row r="29" spans="2:3">
      <c r="B29" s="195"/>
    </row>
    <row r="30" spans="2:3">
      <c r="B30" s="195"/>
    </row>
    <row r="31" spans="2:3">
      <c r="B31" s="195"/>
    </row>
    <row r="32" spans="2:3">
      <c r="B32" s="195"/>
    </row>
    <row r="33" spans="2:2">
      <c r="B33" s="195"/>
    </row>
    <row r="34" spans="2:2">
      <c r="B34" s="195"/>
    </row>
    <row r="35" spans="2:2">
      <c r="B35" s="195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4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6605.9000000000005</v>
      </c>
    </row>
    <row r="2" spans="1:5" ht="16" customHeight="1">
      <c r="A2" s="97" t="s">
        <v>261</v>
      </c>
      <c r="B2" s="200">
        <v>6000</v>
      </c>
      <c r="C2" s="97"/>
      <c r="D2" s="2" t="s">
        <v>788</v>
      </c>
      <c r="E2" s="99"/>
    </row>
    <row r="3" spans="1:5" ht="16" customHeight="1">
      <c r="A3" s="97" t="s">
        <v>789</v>
      </c>
      <c r="B3" s="195">
        <v>346.8</v>
      </c>
      <c r="C3" s="200"/>
      <c r="D3" s="2" t="s">
        <v>790</v>
      </c>
      <c r="E3" s="99">
        <f>E2-E1</f>
        <v>-6605.9000000000005</v>
      </c>
    </row>
    <row r="4" spans="1:5">
      <c r="A4" s="97" t="s">
        <v>792</v>
      </c>
      <c r="B4" s="195">
        <v>11.4</v>
      </c>
      <c r="C4" s="195"/>
    </row>
    <row r="5" spans="1:5">
      <c r="A5" s="97" t="s">
        <v>754</v>
      </c>
      <c r="B5" s="195">
        <v>91.18</v>
      </c>
      <c r="C5" s="195"/>
    </row>
    <row r="6" spans="1:5">
      <c r="A6" s="380" t="s">
        <v>770</v>
      </c>
      <c r="B6" s="195">
        <v>90</v>
      </c>
      <c r="C6" s="195"/>
    </row>
    <row r="7" spans="1:5">
      <c r="A7" s="380" t="s">
        <v>655</v>
      </c>
      <c r="B7" s="195">
        <v>16</v>
      </c>
      <c r="C7" s="195"/>
    </row>
    <row r="8" spans="1:5">
      <c r="A8" s="380" t="s">
        <v>818</v>
      </c>
      <c r="B8" s="195">
        <v>2.38</v>
      </c>
      <c r="C8" s="195"/>
    </row>
    <row r="9" spans="1:5">
      <c r="A9" s="380" t="s">
        <v>819</v>
      </c>
      <c r="B9" s="195">
        <v>40</v>
      </c>
      <c r="C9" s="195"/>
    </row>
    <row r="10" spans="1:5">
      <c r="A10" s="380" t="s">
        <v>754</v>
      </c>
      <c r="B10" s="195">
        <v>8.14</v>
      </c>
      <c r="C10" s="195"/>
    </row>
    <row r="11" spans="1:5">
      <c r="B11" s="195"/>
      <c r="C11" s="195"/>
    </row>
    <row r="12" spans="1:5">
      <c r="B12" s="195"/>
      <c r="C12" s="195"/>
    </row>
    <row r="13" spans="1:5">
      <c r="B13" s="195"/>
      <c r="C13" s="195"/>
    </row>
    <row r="14" spans="1:5">
      <c r="B14" s="195"/>
      <c r="C14" s="195"/>
    </row>
    <row r="15" spans="1:5">
      <c r="B15" s="195"/>
      <c r="C15" s="195"/>
    </row>
    <row r="16" spans="1:5">
      <c r="B16" s="195"/>
      <c r="C16" s="195"/>
    </row>
    <row r="17" spans="2:3">
      <c r="B17" s="195"/>
      <c r="C17" s="195"/>
    </row>
    <row r="18" spans="2:3">
      <c r="B18" s="195"/>
      <c r="C18" s="195"/>
    </row>
    <row r="19" spans="2:3">
      <c r="B19" s="195"/>
      <c r="C19" s="195"/>
    </row>
    <row r="20" spans="2:3">
      <c r="B20" s="195"/>
      <c r="C20" s="195"/>
    </row>
    <row r="21" spans="2:3">
      <c r="B21" s="195"/>
      <c r="C21" s="195"/>
    </row>
    <row r="22" spans="2:3">
      <c r="B22" s="195"/>
      <c r="C22" s="195"/>
    </row>
    <row r="23" spans="2:3">
      <c r="B23" s="195"/>
      <c r="C23" s="195"/>
    </row>
    <row r="24" spans="2:3">
      <c r="B24" s="195"/>
      <c r="C24" s="195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5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7089.8</v>
      </c>
    </row>
    <row r="2" spans="1:5" ht="16" customHeight="1">
      <c r="A2" s="97" t="s">
        <v>261</v>
      </c>
      <c r="B2" s="200">
        <v>6425</v>
      </c>
      <c r="C2" s="97"/>
      <c r="D2" s="2" t="s">
        <v>788</v>
      </c>
      <c r="E2" s="99"/>
    </row>
    <row r="3" spans="1:5" ht="16" customHeight="1">
      <c r="A3" s="97" t="s">
        <v>789</v>
      </c>
      <c r="B3" s="195">
        <v>406.8</v>
      </c>
      <c r="C3" s="200"/>
      <c r="D3" s="2" t="s">
        <v>790</v>
      </c>
      <c r="E3" s="99">
        <f>E2-E1</f>
        <v>-7089.8</v>
      </c>
    </row>
    <row r="4" spans="1:5">
      <c r="A4" s="97" t="s">
        <v>754</v>
      </c>
      <c r="B4" s="195">
        <v>50</v>
      </c>
      <c r="C4" s="195"/>
    </row>
    <row r="5" spans="1:5">
      <c r="A5" s="97" t="s">
        <v>820</v>
      </c>
      <c r="B5" s="195">
        <v>200</v>
      </c>
      <c r="C5" s="195"/>
    </row>
    <row r="6" spans="1:5">
      <c r="A6" s="97" t="s">
        <v>655</v>
      </c>
      <c r="B6" s="195">
        <v>8</v>
      </c>
      <c r="C6" s="195"/>
    </row>
    <row r="7" spans="1:5">
      <c r="B7" s="195"/>
      <c r="C7" s="195"/>
    </row>
    <row r="8" spans="1:5">
      <c r="B8" s="195"/>
      <c r="C8" s="195"/>
    </row>
    <row r="9" spans="1:5">
      <c r="B9" s="195"/>
      <c r="C9" s="195"/>
    </row>
    <row r="10" spans="1:5">
      <c r="B10" s="195"/>
      <c r="C10" s="195"/>
    </row>
    <row r="11" spans="1:5">
      <c r="B11" s="195"/>
      <c r="C11" s="195"/>
    </row>
    <row r="12" spans="1:5">
      <c r="B12" s="195"/>
      <c r="C12" s="195"/>
    </row>
    <row r="13" spans="1:5">
      <c r="B13" s="195"/>
      <c r="C13" s="195"/>
    </row>
    <row r="14" spans="1:5">
      <c r="B14" s="195"/>
      <c r="C14" s="195"/>
    </row>
    <row r="15" spans="1:5">
      <c r="B15" s="195"/>
      <c r="C15" s="195"/>
    </row>
    <row r="16" spans="1:5">
      <c r="B16" s="195"/>
      <c r="C16" s="195"/>
    </row>
    <row r="17" spans="2:3">
      <c r="B17" s="195"/>
      <c r="C17" s="195"/>
    </row>
    <row r="18" spans="2:3">
      <c r="B18" s="195"/>
      <c r="C18" s="195"/>
    </row>
    <row r="19" spans="2:3">
      <c r="B19" s="195"/>
      <c r="C19" s="195"/>
    </row>
    <row r="20" spans="2:3">
      <c r="B20" s="195"/>
      <c r="C20" s="195"/>
    </row>
    <row r="21" spans="2:3">
      <c r="B21" s="195"/>
      <c r="C21" s="195"/>
    </row>
    <row r="22" spans="2:3">
      <c r="B22" s="195"/>
      <c r="C22" s="195"/>
    </row>
    <row r="23" spans="2:3">
      <c r="B23" s="195"/>
      <c r="C23" s="195"/>
    </row>
    <row r="24" spans="2:3">
      <c r="B24" s="195"/>
      <c r="C24" s="195"/>
    </row>
    <row r="25" spans="2:3">
      <c r="B25" s="195"/>
      <c r="C25" s="19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6"/>
  <sheetViews>
    <sheetView workbookViewId="0">
      <selection activeCell="D16" sqref="D16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4625.130000000001</v>
      </c>
    </row>
    <row r="2" spans="1:5" ht="16" customHeight="1">
      <c r="A2" s="97" t="s">
        <v>261</v>
      </c>
      <c r="B2" s="200">
        <v>4100</v>
      </c>
      <c r="C2" s="97"/>
      <c r="D2" s="2" t="s">
        <v>788</v>
      </c>
      <c r="E2" s="99">
        <v>7250</v>
      </c>
    </row>
    <row r="3" spans="1:5" ht="16" customHeight="1">
      <c r="A3" s="97" t="s">
        <v>789</v>
      </c>
      <c r="B3" s="195">
        <v>322.8</v>
      </c>
      <c r="C3" s="200"/>
      <c r="D3" s="2" t="s">
        <v>790</v>
      </c>
      <c r="E3" s="99">
        <f>E2-E1</f>
        <v>2624.869999999999</v>
      </c>
    </row>
    <row r="4" spans="1:5">
      <c r="A4" s="97" t="s">
        <v>655</v>
      </c>
      <c r="B4" s="195">
        <v>16</v>
      </c>
      <c r="C4" s="195"/>
    </row>
    <row r="5" spans="1:5">
      <c r="A5" s="97" t="s">
        <v>754</v>
      </c>
      <c r="B5" s="195">
        <v>8</v>
      </c>
      <c r="C5" s="195"/>
    </row>
    <row r="6" spans="1:5">
      <c r="A6" s="97" t="s">
        <v>754</v>
      </c>
      <c r="B6" s="195">
        <v>8.1</v>
      </c>
      <c r="C6" s="195"/>
    </row>
    <row r="7" spans="1:5">
      <c r="A7" s="97" t="s">
        <v>760</v>
      </c>
      <c r="B7" s="195">
        <v>40</v>
      </c>
      <c r="C7" s="195"/>
    </row>
    <row r="8" spans="1:5">
      <c r="A8" s="97" t="s">
        <v>567</v>
      </c>
      <c r="B8" s="195">
        <v>30</v>
      </c>
      <c r="C8" s="195"/>
    </row>
    <row r="9" spans="1:5">
      <c r="A9" s="97" t="s">
        <v>821</v>
      </c>
      <c r="B9" s="195">
        <v>12.5</v>
      </c>
      <c r="C9" s="195"/>
    </row>
    <row r="10" spans="1:5">
      <c r="A10" s="97" t="s">
        <v>807</v>
      </c>
      <c r="B10" s="195">
        <v>77.72</v>
      </c>
      <c r="C10" s="195"/>
    </row>
    <row r="11" spans="1:5">
      <c r="A11" s="97" t="s">
        <v>754</v>
      </c>
      <c r="B11" s="195">
        <v>10.01</v>
      </c>
      <c r="C11" s="195"/>
    </row>
    <row r="12" spans="1:5">
      <c r="B12" s="195"/>
      <c r="C12" s="195"/>
    </row>
    <row r="13" spans="1:5">
      <c r="B13" s="195"/>
      <c r="C13" s="195"/>
    </row>
    <row r="14" spans="1:5">
      <c r="B14" s="195"/>
      <c r="C14" s="195"/>
    </row>
    <row r="15" spans="1:5">
      <c r="B15" s="195"/>
      <c r="C15" s="195"/>
    </row>
    <row r="16" spans="1:5">
      <c r="B16" s="195"/>
      <c r="C16" s="195"/>
    </row>
    <row r="17" spans="2:3">
      <c r="B17" s="195"/>
      <c r="C17" s="195"/>
    </row>
    <row r="18" spans="2:3">
      <c r="B18" s="195"/>
      <c r="C18" s="195"/>
    </row>
    <row r="19" spans="2:3">
      <c r="B19" s="195"/>
      <c r="C19" s="195"/>
    </row>
    <row r="20" spans="2:3">
      <c r="B20" s="195"/>
      <c r="C20" s="195"/>
    </row>
    <row r="21" spans="2:3">
      <c r="B21" s="195"/>
      <c r="C21" s="195"/>
    </row>
    <row r="22" spans="2:3">
      <c r="B22" s="195"/>
      <c r="C22" s="195"/>
    </row>
    <row r="23" spans="2:3">
      <c r="B23" s="195"/>
      <c r="C23" s="195"/>
    </row>
    <row r="24" spans="2:3">
      <c r="B24" s="195"/>
      <c r="C24" s="195"/>
    </row>
    <row r="25" spans="2:3">
      <c r="B25" s="195"/>
      <c r="C25" s="195"/>
    </row>
    <row r="26" spans="2:3">
      <c r="B26" s="195"/>
      <c r="C26" s="195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4"/>
  <sheetViews>
    <sheetView workbookViewId="0">
      <selection activeCell="A8" sqref="A8"/>
    </sheetView>
  </sheetViews>
  <sheetFormatPr baseColWidth="10" defaultColWidth="11.5" defaultRowHeight="15"/>
  <sheetData>
    <row r="1" spans="1:6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7491.5</v>
      </c>
    </row>
    <row r="2" spans="1:6" ht="16" customHeight="1">
      <c r="A2" s="97" t="s">
        <v>261</v>
      </c>
      <c r="B2" s="200">
        <v>7000</v>
      </c>
      <c r="C2" s="97"/>
      <c r="D2" s="2" t="s">
        <v>788</v>
      </c>
      <c r="E2" s="99">
        <v>9971</v>
      </c>
    </row>
    <row r="3" spans="1:6" ht="16" customHeight="1">
      <c r="A3" s="97" t="s">
        <v>789</v>
      </c>
      <c r="B3" s="195">
        <v>346.8</v>
      </c>
      <c r="C3" s="97"/>
      <c r="D3" s="2" t="s">
        <v>790</v>
      </c>
      <c r="E3" s="99">
        <f>E2-E1</f>
        <v>2479.5</v>
      </c>
      <c r="F3" s="162"/>
    </row>
    <row r="4" spans="1:6">
      <c r="A4" s="97" t="s">
        <v>799</v>
      </c>
      <c r="B4" s="195">
        <v>16</v>
      </c>
      <c r="C4" s="45"/>
    </row>
    <row r="5" spans="1:6">
      <c r="A5" s="97" t="s">
        <v>760</v>
      </c>
      <c r="B5" s="162">
        <v>40</v>
      </c>
      <c r="C5" s="45"/>
    </row>
    <row r="6" spans="1:6">
      <c r="A6" t="s">
        <v>42</v>
      </c>
      <c r="B6" s="212">
        <v>77.72</v>
      </c>
      <c r="C6" s="45"/>
    </row>
    <row r="7" spans="1:6">
      <c r="A7" s="97" t="s">
        <v>754</v>
      </c>
      <c r="B7" s="212">
        <v>10.98</v>
      </c>
      <c r="C7" s="45"/>
    </row>
    <row r="8" spans="1:6">
      <c r="B8" s="45"/>
      <c r="C8" s="45"/>
    </row>
    <row r="9" spans="1:6">
      <c r="B9" s="45"/>
      <c r="C9" s="45"/>
    </row>
    <row r="10" spans="1:6">
      <c r="B10" s="45"/>
      <c r="C10" s="45"/>
    </row>
    <row r="11" spans="1:6">
      <c r="B11" s="45"/>
      <c r="C11" s="45"/>
    </row>
    <row r="12" spans="1:6">
      <c r="B12" s="45"/>
      <c r="C12" s="45"/>
    </row>
    <row r="13" spans="1:6">
      <c r="B13" s="45"/>
      <c r="C13" s="45"/>
    </row>
    <row r="14" spans="1:6">
      <c r="B14" s="45"/>
      <c r="C14" s="45"/>
    </row>
    <row r="15" spans="1:6">
      <c r="B15" s="45"/>
      <c r="C15" s="45"/>
    </row>
    <row r="16" spans="1:6">
      <c r="B16" s="45"/>
      <c r="C16" s="45"/>
    </row>
    <row r="17" spans="2:3">
      <c r="B17" s="45"/>
      <c r="C17" s="45"/>
    </row>
    <row r="18" spans="2:3">
      <c r="B18" s="45"/>
      <c r="C18" s="45"/>
    </row>
    <row r="19" spans="2:3">
      <c r="B19" s="45"/>
      <c r="C19" s="45"/>
    </row>
    <row r="20" spans="2:3">
      <c r="B20" s="45"/>
      <c r="C20" s="45"/>
    </row>
    <row r="21" spans="2:3">
      <c r="B21" s="45"/>
      <c r="C21" s="45"/>
    </row>
    <row r="22" spans="2:3">
      <c r="B22" s="45"/>
      <c r="C22" s="45"/>
    </row>
    <row r="23" spans="2:3">
      <c r="B23" s="45"/>
      <c r="C23" s="45"/>
    </row>
    <row r="24" spans="2:3">
      <c r="B24" s="45"/>
      <c r="C24" s="45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5"/>
  <sheetViews>
    <sheetView workbookViewId="0">
      <selection activeCell="A11" sqref="A1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8516.6899999999987</v>
      </c>
    </row>
    <row r="2" spans="1:5" ht="16" customHeight="1">
      <c r="A2" s="97" t="s">
        <v>261</v>
      </c>
      <c r="B2" s="200">
        <v>7900</v>
      </c>
      <c r="C2" s="97"/>
      <c r="D2" s="2" t="s">
        <v>788</v>
      </c>
      <c r="E2" s="99"/>
    </row>
    <row r="3" spans="1:5" ht="16" customHeight="1">
      <c r="A3" s="97" t="s">
        <v>822</v>
      </c>
      <c r="B3" s="195">
        <v>18.690000000000001</v>
      </c>
      <c r="C3" s="97"/>
      <c r="D3" s="2" t="s">
        <v>790</v>
      </c>
      <c r="E3" s="99">
        <f>E2-E1</f>
        <v>-8516.6899999999987</v>
      </c>
    </row>
    <row r="4" spans="1:5">
      <c r="A4" s="97" t="s">
        <v>823</v>
      </c>
      <c r="B4" s="195">
        <v>100</v>
      </c>
    </row>
    <row r="5" spans="1:5">
      <c r="A5" s="380" t="s">
        <v>754</v>
      </c>
      <c r="B5" s="195">
        <v>5</v>
      </c>
    </row>
    <row r="6" spans="1:5">
      <c r="A6" s="97" t="s">
        <v>824</v>
      </c>
      <c r="B6" s="195">
        <v>140</v>
      </c>
    </row>
    <row r="7" spans="1:5">
      <c r="A7" s="97" t="s">
        <v>825</v>
      </c>
      <c r="B7" s="195">
        <v>220</v>
      </c>
    </row>
    <row r="8" spans="1:5">
      <c r="A8" s="97" t="s">
        <v>826</v>
      </c>
      <c r="B8" s="195">
        <v>20</v>
      </c>
    </row>
    <row r="9" spans="1:5">
      <c r="A9" s="97" t="s">
        <v>827</v>
      </c>
      <c r="B9" s="195">
        <v>100</v>
      </c>
    </row>
    <row r="10" spans="1:5">
      <c r="A10" s="97" t="s">
        <v>828</v>
      </c>
      <c r="B10" s="195">
        <v>13</v>
      </c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7"/>
  <sheetViews>
    <sheetView zoomScale="156" workbookViewId="0">
      <selection activeCell="C3" sqref="C3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4606.4100000000008</v>
      </c>
    </row>
    <row r="2" spans="1:5" ht="16" customHeight="1">
      <c r="A2" s="97" t="s">
        <v>261</v>
      </c>
      <c r="B2" s="200">
        <v>4000</v>
      </c>
      <c r="C2" s="97"/>
      <c r="D2" s="2" t="s">
        <v>788</v>
      </c>
      <c r="E2" s="99">
        <v>7495</v>
      </c>
    </row>
    <row r="3" spans="1:5" ht="16" customHeight="1">
      <c r="A3" s="97" t="s">
        <v>789</v>
      </c>
      <c r="B3" s="195">
        <v>322.8</v>
      </c>
      <c r="C3" s="97"/>
      <c r="D3" s="2" t="s">
        <v>790</v>
      </c>
      <c r="E3" s="99">
        <f>E2-E1</f>
        <v>2888.5899999999992</v>
      </c>
    </row>
    <row r="4" spans="1:5">
      <c r="A4" s="97" t="s">
        <v>754</v>
      </c>
      <c r="B4" s="195">
        <f>39.78/2</f>
        <v>19.89</v>
      </c>
    </row>
    <row r="5" spans="1:5">
      <c r="A5" s="97" t="s">
        <v>754</v>
      </c>
      <c r="B5" s="195">
        <v>10</v>
      </c>
    </row>
    <row r="6" spans="1:5">
      <c r="A6" s="97" t="s">
        <v>655</v>
      </c>
      <c r="B6" s="195">
        <v>16</v>
      </c>
    </row>
    <row r="7" spans="1:5">
      <c r="A7" s="97" t="s">
        <v>829</v>
      </c>
      <c r="B7" s="195">
        <v>160</v>
      </c>
    </row>
    <row r="8" spans="1:5">
      <c r="A8" s="97" t="s">
        <v>42</v>
      </c>
      <c r="B8" s="195">
        <v>77.72</v>
      </c>
    </row>
    <row r="9" spans="1:5">
      <c r="B9" s="195"/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3"/>
  <sheetViews>
    <sheetView zoomScale="150" workbookViewId="0">
      <selection activeCell="B8" sqref="B8"/>
    </sheetView>
  </sheetViews>
  <sheetFormatPr baseColWidth="10" defaultColWidth="11.5" defaultRowHeight="15"/>
  <cols>
    <col min="1" max="1" width="15.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7508.9100000000008</v>
      </c>
    </row>
    <row r="2" spans="1:5" ht="16" customHeight="1">
      <c r="A2" s="97" t="s">
        <v>261</v>
      </c>
      <c r="B2" s="200">
        <v>6300</v>
      </c>
      <c r="C2" s="97"/>
      <c r="D2" s="2" t="s">
        <v>788</v>
      </c>
      <c r="E2" s="99">
        <v>10800</v>
      </c>
    </row>
    <row r="3" spans="1:5" ht="16" customHeight="1">
      <c r="A3" s="97" t="s">
        <v>789</v>
      </c>
      <c r="B3" s="195">
        <v>346.8</v>
      </c>
      <c r="C3" s="97"/>
      <c r="D3" s="2" t="s">
        <v>790</v>
      </c>
      <c r="E3" s="99">
        <f>E2-E1</f>
        <v>3291.0899999999992</v>
      </c>
    </row>
    <row r="4" spans="1:5">
      <c r="A4" s="97" t="s">
        <v>754</v>
      </c>
      <c r="B4" s="195">
        <f>39.78/2</f>
        <v>19.89</v>
      </c>
    </row>
    <row r="5" spans="1:5">
      <c r="A5" s="97" t="s">
        <v>754</v>
      </c>
      <c r="B5" s="195">
        <v>40.299999999999997</v>
      </c>
    </row>
    <row r="6" spans="1:5">
      <c r="A6" s="97" t="s">
        <v>830</v>
      </c>
      <c r="B6" s="195">
        <v>25.2</v>
      </c>
    </row>
    <row r="7" spans="1:5">
      <c r="A7" s="97" t="s">
        <v>824</v>
      </c>
      <c r="B7" s="195">
        <v>220</v>
      </c>
    </row>
    <row r="8" spans="1:5">
      <c r="A8" s="97" t="s">
        <v>831</v>
      </c>
      <c r="B8" s="195">
        <v>220</v>
      </c>
    </row>
    <row r="9" spans="1:5">
      <c r="A9" s="97" t="s">
        <v>832</v>
      </c>
      <c r="B9" s="195">
        <v>22.99</v>
      </c>
    </row>
    <row r="10" spans="1:5">
      <c r="A10" s="97" t="s">
        <v>799</v>
      </c>
      <c r="B10" s="195">
        <v>8</v>
      </c>
    </row>
    <row r="11" spans="1:5">
      <c r="A11" s="97" t="s">
        <v>799</v>
      </c>
      <c r="B11" s="195">
        <v>8</v>
      </c>
    </row>
    <row r="12" spans="1:5">
      <c r="A12" s="97" t="s">
        <v>833</v>
      </c>
      <c r="B12" s="195">
        <v>55</v>
      </c>
    </row>
    <row r="13" spans="1:5">
      <c r="A13" s="97" t="s">
        <v>754</v>
      </c>
      <c r="B13" s="195">
        <v>15.01</v>
      </c>
    </row>
    <row r="14" spans="1:5">
      <c r="A14" s="97" t="s">
        <v>655</v>
      </c>
      <c r="B14" s="195">
        <v>25</v>
      </c>
    </row>
    <row r="15" spans="1:5">
      <c r="A15" s="97" t="s">
        <v>42</v>
      </c>
      <c r="B15" s="195">
        <v>77.72</v>
      </c>
    </row>
    <row r="16" spans="1:5">
      <c r="A16" s="97" t="s">
        <v>810</v>
      </c>
      <c r="B16" s="195">
        <v>125</v>
      </c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  <row r="34" spans="2:2">
      <c r="B34" s="195"/>
    </row>
    <row r="35" spans="2:2">
      <c r="B35" s="195"/>
    </row>
    <row r="36" spans="2:2">
      <c r="B36" s="195"/>
    </row>
    <row r="37" spans="2:2">
      <c r="B37" s="195"/>
    </row>
    <row r="38" spans="2:2">
      <c r="B38" s="195"/>
    </row>
    <row r="39" spans="2:2">
      <c r="B39" s="195"/>
    </row>
    <row r="40" spans="2:2">
      <c r="B40" s="195"/>
    </row>
    <row r="41" spans="2:2">
      <c r="B41" s="195"/>
    </row>
    <row r="42" spans="2:2">
      <c r="B42" s="195"/>
    </row>
    <row r="43" spans="2:2">
      <c r="B43" s="195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C10" sqref="C10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5558.93</v>
      </c>
    </row>
    <row r="2" spans="1:5" ht="16" customHeight="1">
      <c r="A2" s="97" t="s">
        <v>261</v>
      </c>
      <c r="B2" s="200">
        <v>4400</v>
      </c>
      <c r="C2" s="97"/>
      <c r="D2" s="2" t="s">
        <v>788</v>
      </c>
      <c r="E2" s="99"/>
    </row>
    <row r="3" spans="1:5" ht="16" customHeight="1">
      <c r="A3" s="97" t="s">
        <v>789</v>
      </c>
      <c r="B3" s="195">
        <v>406.8</v>
      </c>
      <c r="C3" s="97"/>
      <c r="D3" s="2" t="s">
        <v>790</v>
      </c>
      <c r="E3" s="99">
        <f>E2-E1</f>
        <v>-5558.93</v>
      </c>
    </row>
    <row r="4" spans="1:5">
      <c r="A4" s="97" t="s">
        <v>754</v>
      </c>
      <c r="B4" s="195">
        <v>35.049999999999997</v>
      </c>
    </row>
    <row r="5" spans="1:5">
      <c r="A5" s="380" t="s">
        <v>834</v>
      </c>
      <c r="B5" s="195">
        <v>74.95</v>
      </c>
    </row>
    <row r="6" spans="1:5">
      <c r="A6" s="380" t="s">
        <v>835</v>
      </c>
      <c r="B6" s="195">
        <v>49.88</v>
      </c>
    </row>
    <row r="7" spans="1:5">
      <c r="A7" s="380" t="s">
        <v>777</v>
      </c>
      <c r="B7" s="195">
        <v>300</v>
      </c>
    </row>
    <row r="8" spans="1:5">
      <c r="A8" s="380" t="s">
        <v>757</v>
      </c>
      <c r="B8" s="195">
        <v>240</v>
      </c>
    </row>
    <row r="9" spans="1:5">
      <c r="A9" s="380" t="s">
        <v>760</v>
      </c>
      <c r="B9" s="195">
        <v>40</v>
      </c>
    </row>
    <row r="10" spans="1:5">
      <c r="A10" s="380" t="s">
        <v>754</v>
      </c>
      <c r="B10" s="195">
        <v>12.25</v>
      </c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1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4779.49</v>
      </c>
    </row>
    <row r="2" spans="1:5" ht="16" customHeight="1">
      <c r="A2" s="97" t="s">
        <v>261</v>
      </c>
      <c r="B2" s="200">
        <v>4150</v>
      </c>
      <c r="C2" s="97"/>
      <c r="D2" s="2" t="s">
        <v>788</v>
      </c>
      <c r="E2" s="99"/>
    </row>
    <row r="3" spans="1:5" ht="16" customHeight="1">
      <c r="A3" s="97" t="s">
        <v>789</v>
      </c>
      <c r="B3" s="195">
        <v>322.8</v>
      </c>
      <c r="C3" s="97"/>
      <c r="D3" s="2" t="s">
        <v>790</v>
      </c>
      <c r="E3" s="99">
        <f>E2-E1</f>
        <v>-4779.49</v>
      </c>
    </row>
    <row r="4" spans="1:5">
      <c r="A4" s="97" t="s">
        <v>754</v>
      </c>
      <c r="B4" s="195">
        <f>47.5+15.27</f>
        <v>62.769999999999996</v>
      </c>
    </row>
    <row r="5" spans="1:5">
      <c r="A5" s="380" t="s">
        <v>836</v>
      </c>
      <c r="B5" s="195">
        <v>52.28</v>
      </c>
    </row>
    <row r="6" spans="1:5">
      <c r="A6" s="97" t="s">
        <v>451</v>
      </c>
      <c r="B6" s="195">
        <f>69.46/2</f>
        <v>34.729999999999997</v>
      </c>
    </row>
    <row r="7" spans="1:5">
      <c r="A7" s="380" t="s">
        <v>463</v>
      </c>
      <c r="B7" s="195">
        <f>35.5/2</f>
        <v>17.75</v>
      </c>
    </row>
    <row r="8" spans="1:5">
      <c r="A8" s="380" t="s">
        <v>837</v>
      </c>
      <c r="B8" s="195">
        <v>10.97</v>
      </c>
    </row>
    <row r="9" spans="1:5">
      <c r="A9" s="380" t="s">
        <v>791</v>
      </c>
      <c r="B9" s="195">
        <v>8.19</v>
      </c>
    </row>
    <row r="10" spans="1:5">
      <c r="A10" s="380" t="s">
        <v>770</v>
      </c>
      <c r="B10" s="195">
        <v>120</v>
      </c>
    </row>
    <row r="11" spans="1:5">
      <c r="B11" s="195"/>
    </row>
    <row r="12" spans="1:5">
      <c r="B12" s="195"/>
      <c r="C12" t="s">
        <v>299</v>
      </c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6"/>
  <sheetViews>
    <sheetView workbookViewId="0">
      <selection activeCell="I24" sqref="I24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6993.22</v>
      </c>
    </row>
    <row r="2" spans="1:5" ht="16" customHeight="1">
      <c r="A2" s="97" t="s">
        <v>261</v>
      </c>
      <c r="B2" s="200">
        <v>6400</v>
      </c>
      <c r="C2" s="97"/>
      <c r="D2" s="2" t="s">
        <v>788</v>
      </c>
      <c r="E2" s="99">
        <v>8400</v>
      </c>
    </row>
    <row r="3" spans="1:5" ht="16" customHeight="1">
      <c r="A3" s="97" t="s">
        <v>789</v>
      </c>
      <c r="B3" s="195">
        <v>406.8</v>
      </c>
      <c r="C3" s="97"/>
      <c r="D3" s="2" t="s">
        <v>790</v>
      </c>
      <c r="E3" s="99">
        <f>E2-E1</f>
        <v>1406.7799999999997</v>
      </c>
    </row>
    <row r="4" spans="1:5">
      <c r="A4" s="97" t="s">
        <v>754</v>
      </c>
      <c r="B4" s="195">
        <v>5.17</v>
      </c>
    </row>
    <row r="5" spans="1:5">
      <c r="A5" s="97" t="s">
        <v>754</v>
      </c>
      <c r="B5" s="195">
        <v>64.58</v>
      </c>
    </row>
    <row r="6" spans="1:5">
      <c r="A6" s="97" t="s">
        <v>451</v>
      </c>
      <c r="B6" s="195">
        <f>69.46/2</f>
        <v>34.729999999999997</v>
      </c>
    </row>
    <row r="7" spans="1:5">
      <c r="A7" s="380" t="s">
        <v>463</v>
      </c>
      <c r="B7" s="195">
        <f>35.5/2</f>
        <v>17.75</v>
      </c>
    </row>
    <row r="8" spans="1:5">
      <c r="A8" s="380" t="s">
        <v>838</v>
      </c>
      <c r="B8" s="195">
        <v>5.89</v>
      </c>
    </row>
    <row r="9" spans="1:5">
      <c r="A9" t="s">
        <v>42</v>
      </c>
      <c r="B9" s="195">
        <v>58.3</v>
      </c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28"/>
  <sheetViews>
    <sheetView zoomScale="150" zoomScaleNormal="84" workbookViewId="0">
      <selection activeCell="C15" sqref="C15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8231.48</v>
      </c>
    </row>
    <row r="2" spans="1:5" ht="16" customHeight="1">
      <c r="A2" s="97" t="s">
        <v>261</v>
      </c>
      <c r="B2" s="200">
        <v>6700</v>
      </c>
      <c r="C2" s="97"/>
      <c r="D2" s="2" t="s">
        <v>788</v>
      </c>
      <c r="E2" s="195">
        <v>10995</v>
      </c>
    </row>
    <row r="3" spans="1:5" ht="16" customHeight="1">
      <c r="A3" s="97" t="s">
        <v>789</v>
      </c>
      <c r="B3" s="267">
        <v>406.8</v>
      </c>
      <c r="C3" s="97"/>
      <c r="D3" s="2" t="s">
        <v>790</v>
      </c>
      <c r="E3" s="99">
        <f>E2-E1</f>
        <v>2763.5200000000004</v>
      </c>
    </row>
    <row r="4" spans="1:5">
      <c r="A4" s="97" t="s">
        <v>754</v>
      </c>
      <c r="B4" s="267">
        <v>4.45</v>
      </c>
      <c r="C4" s="97"/>
      <c r="D4" s="2"/>
      <c r="E4" s="99"/>
    </row>
    <row r="5" spans="1:5">
      <c r="A5" s="97" t="s">
        <v>754</v>
      </c>
      <c r="B5" s="195">
        <v>10.029999999999999</v>
      </c>
    </row>
    <row r="6" spans="1:5">
      <c r="A6" s="97" t="s">
        <v>443</v>
      </c>
      <c r="B6" s="195">
        <v>25</v>
      </c>
    </row>
    <row r="7" spans="1:5">
      <c r="A7" s="97" t="s">
        <v>839</v>
      </c>
      <c r="B7" s="195">
        <v>11.44</v>
      </c>
    </row>
    <row r="8" spans="1:5">
      <c r="A8" s="97" t="s">
        <v>757</v>
      </c>
      <c r="B8" s="195">
        <v>160</v>
      </c>
    </row>
    <row r="9" spans="1:5">
      <c r="A9" s="97" t="s">
        <v>655</v>
      </c>
      <c r="B9" s="195">
        <v>16</v>
      </c>
    </row>
    <row r="10" spans="1:5">
      <c r="A10" s="380" t="s">
        <v>840</v>
      </c>
      <c r="B10" s="195">
        <v>30</v>
      </c>
    </row>
    <row r="11" spans="1:5">
      <c r="A11" s="380" t="s">
        <v>791</v>
      </c>
      <c r="B11" s="195">
        <v>10.039999999999999</v>
      </c>
    </row>
    <row r="12" spans="1:5">
      <c r="A12" s="380" t="s">
        <v>841</v>
      </c>
      <c r="B12" s="195">
        <v>650</v>
      </c>
    </row>
    <row r="13" spans="1:5">
      <c r="A13" s="380" t="s">
        <v>831</v>
      </c>
      <c r="B13" s="195">
        <v>90</v>
      </c>
    </row>
    <row r="14" spans="1:5">
      <c r="A14" s="380" t="s">
        <v>807</v>
      </c>
      <c r="B14" s="195">
        <v>77.72</v>
      </c>
    </row>
    <row r="15" spans="1:5">
      <c r="A15" s="380" t="s">
        <v>842</v>
      </c>
      <c r="B15" s="195">
        <v>40</v>
      </c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8"/>
  <sheetViews>
    <sheetView workbookViewId="0">
      <selection activeCell="A11" sqref="A1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SUM(B$2:B$1048576)</f>
        <v>1459.2400000000002</v>
      </c>
    </row>
    <row r="2" spans="1:5" ht="16" customHeight="1">
      <c r="A2" s="97" t="s">
        <v>260</v>
      </c>
      <c r="B2" s="200">
        <v>1219.1600000000001</v>
      </c>
      <c r="C2" s="97"/>
      <c r="D2" s="2" t="s">
        <v>788</v>
      </c>
      <c r="E2" s="99">
        <v>5295</v>
      </c>
    </row>
    <row r="3" spans="1:5" ht="16" customHeight="1">
      <c r="A3" s="97" t="s">
        <v>777</v>
      </c>
      <c r="B3" s="195">
        <v>40</v>
      </c>
      <c r="C3" s="97"/>
      <c r="D3" s="2" t="s">
        <v>790</v>
      </c>
      <c r="E3" s="99">
        <f>E2-E1</f>
        <v>3835.7599999999998</v>
      </c>
    </row>
    <row r="4" spans="1:5">
      <c r="A4" t="s">
        <v>443</v>
      </c>
      <c r="B4" s="195">
        <v>35</v>
      </c>
    </row>
    <row r="5" spans="1:5">
      <c r="A5" s="97" t="s">
        <v>843</v>
      </c>
      <c r="B5" s="195">
        <v>43.49</v>
      </c>
    </row>
    <row r="6" spans="1:5">
      <c r="A6" s="97" t="s">
        <v>754</v>
      </c>
      <c r="B6" s="195">
        <v>5</v>
      </c>
    </row>
    <row r="7" spans="1:5">
      <c r="A7" s="97" t="s">
        <v>754</v>
      </c>
      <c r="B7" s="195">
        <v>13.13</v>
      </c>
    </row>
    <row r="8" spans="1:5">
      <c r="A8" s="97" t="s">
        <v>791</v>
      </c>
      <c r="B8" s="195">
        <v>5.16</v>
      </c>
    </row>
    <row r="9" spans="1:5">
      <c r="A9" t="s">
        <v>42</v>
      </c>
      <c r="B9" s="195">
        <v>58.3</v>
      </c>
    </row>
    <row r="10" spans="1:5">
      <c r="A10" s="97" t="s">
        <v>461</v>
      </c>
      <c r="B10" s="195">
        <v>40</v>
      </c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1"/>
  <sheetViews>
    <sheetView workbookViewId="0">
      <selection activeCell="F3" sqref="F3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5510.5199999999995</v>
      </c>
    </row>
    <row r="2" spans="1:5" ht="16" customHeight="1">
      <c r="A2" s="97" t="s">
        <v>261</v>
      </c>
      <c r="B2" s="200">
        <v>4900</v>
      </c>
      <c r="C2" s="97"/>
      <c r="D2" s="2" t="s">
        <v>788</v>
      </c>
      <c r="E2" s="99">
        <v>7795</v>
      </c>
    </row>
    <row r="3" spans="1:5" ht="16" customHeight="1">
      <c r="A3" s="97" t="s">
        <v>789</v>
      </c>
      <c r="B3" s="195">
        <v>346.8</v>
      </c>
      <c r="C3" s="97"/>
      <c r="D3" s="2" t="s">
        <v>790</v>
      </c>
      <c r="E3" s="99">
        <f>E2-E1</f>
        <v>2284.4800000000005</v>
      </c>
    </row>
    <row r="4" spans="1:5">
      <c r="A4" s="97" t="s">
        <v>844</v>
      </c>
      <c r="B4" s="195">
        <v>15</v>
      </c>
    </row>
    <row r="5" spans="1:5">
      <c r="A5" s="97" t="s">
        <v>845</v>
      </c>
      <c r="B5" s="195">
        <v>4.7300000000000004</v>
      </c>
    </row>
    <row r="6" spans="1:5">
      <c r="A6" s="97" t="s">
        <v>777</v>
      </c>
      <c r="B6" s="195">
        <v>50</v>
      </c>
    </row>
    <row r="7" spans="1:5">
      <c r="A7" s="97" t="s">
        <v>791</v>
      </c>
      <c r="B7" s="195">
        <v>14.28</v>
      </c>
    </row>
    <row r="8" spans="1:5">
      <c r="A8" s="97" t="s">
        <v>760</v>
      </c>
      <c r="B8" s="195">
        <v>40</v>
      </c>
    </row>
    <row r="9" spans="1:5">
      <c r="A9" s="97" t="s">
        <v>843</v>
      </c>
      <c r="B9" s="195">
        <v>61.99</v>
      </c>
    </row>
    <row r="10" spans="1:5">
      <c r="A10" s="97" t="s">
        <v>42</v>
      </c>
      <c r="B10" s="195">
        <v>77.72</v>
      </c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0"/>
  <sheetViews>
    <sheetView workbookViewId="0">
      <selection activeCell="C10" sqref="C10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5238.0350000000008</v>
      </c>
    </row>
    <row r="2" spans="1:5" ht="16" customHeight="1">
      <c r="A2" s="97" t="s">
        <v>261</v>
      </c>
      <c r="B2" s="200">
        <v>4750</v>
      </c>
      <c r="C2" s="97"/>
      <c r="D2" s="2" t="s">
        <v>788</v>
      </c>
      <c r="E2" s="99">
        <v>6995</v>
      </c>
    </row>
    <row r="3" spans="1:5" ht="16" customHeight="1">
      <c r="A3" s="97" t="s">
        <v>789</v>
      </c>
      <c r="B3" s="200">
        <v>346.8</v>
      </c>
      <c r="C3" s="97"/>
      <c r="D3" s="2" t="s">
        <v>790</v>
      </c>
      <c r="E3" s="99">
        <f>E2-E1</f>
        <v>1756.9649999999992</v>
      </c>
    </row>
    <row r="4" spans="1:5">
      <c r="A4" s="97" t="s">
        <v>655</v>
      </c>
      <c r="B4" s="200">
        <v>18</v>
      </c>
    </row>
    <row r="5" spans="1:5">
      <c r="A5" s="97" t="s">
        <v>754</v>
      </c>
      <c r="B5" s="200">
        <v>11.26</v>
      </c>
    </row>
    <row r="6" spans="1:5">
      <c r="A6" s="97" t="s">
        <v>754</v>
      </c>
      <c r="B6" s="200">
        <v>8.51</v>
      </c>
    </row>
    <row r="7" spans="1:5">
      <c r="B7" s="195">
        <f>20.83/2</f>
        <v>10.414999999999999</v>
      </c>
    </row>
    <row r="8" spans="1:5">
      <c r="A8" s="97" t="s">
        <v>754</v>
      </c>
      <c r="B8" s="200">
        <v>5.05</v>
      </c>
    </row>
    <row r="9" spans="1:5">
      <c r="A9" s="97" t="s">
        <v>833</v>
      </c>
      <c r="B9" s="200">
        <v>48</v>
      </c>
    </row>
    <row r="10" spans="1:5">
      <c r="A10" s="97" t="s">
        <v>842</v>
      </c>
      <c r="B10" s="200">
        <v>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7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6092.52</v>
      </c>
    </row>
    <row r="2" spans="1:5" ht="16" customHeight="1">
      <c r="A2" s="97" t="s">
        <v>261</v>
      </c>
      <c r="B2" s="200">
        <v>5500</v>
      </c>
      <c r="C2" s="97"/>
      <c r="D2" s="2" t="s">
        <v>788</v>
      </c>
      <c r="E2" s="99"/>
    </row>
    <row r="3" spans="1:5" ht="16" customHeight="1">
      <c r="A3" s="97" t="s">
        <v>789</v>
      </c>
      <c r="B3" s="200">
        <v>406.8</v>
      </c>
      <c r="C3" s="97"/>
      <c r="D3" s="2" t="s">
        <v>790</v>
      </c>
      <c r="E3" s="99">
        <f>E2-E1</f>
        <v>-6092.52</v>
      </c>
    </row>
    <row r="4" spans="1:5">
      <c r="B4" s="195">
        <v>8</v>
      </c>
    </row>
    <row r="5" spans="1:5">
      <c r="A5" s="97" t="s">
        <v>754</v>
      </c>
      <c r="B5" s="195">
        <v>25.02</v>
      </c>
    </row>
    <row r="6" spans="1:5">
      <c r="A6" s="97" t="s">
        <v>754</v>
      </c>
      <c r="B6" s="195">
        <v>47.61</v>
      </c>
    </row>
    <row r="7" spans="1:5">
      <c r="A7" s="97" t="s">
        <v>754</v>
      </c>
      <c r="B7" s="195">
        <v>5.09</v>
      </c>
    </row>
    <row r="8" spans="1:5">
      <c r="A8" s="380" t="s">
        <v>810</v>
      </c>
      <c r="B8" s="195">
        <v>100</v>
      </c>
    </row>
    <row r="9" spans="1:5">
      <c r="B9" s="195"/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  <row r="34" spans="2:2">
      <c r="B34" s="195"/>
    </row>
    <row r="35" spans="2:2">
      <c r="B35" s="195"/>
    </row>
    <row r="36" spans="2:2">
      <c r="B36" s="195"/>
    </row>
    <row r="37" spans="2:2">
      <c r="B37" s="195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8"/>
  <sheetViews>
    <sheetView workbookViewId="0">
      <selection activeCell="B11" sqref="B1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6743.5750000000007</v>
      </c>
    </row>
    <row r="2" spans="1:5" ht="16" customHeight="1">
      <c r="A2" s="97" t="s">
        <v>261</v>
      </c>
      <c r="B2" s="200">
        <v>5700</v>
      </c>
      <c r="C2" s="97"/>
      <c r="D2" s="2" t="s">
        <v>788</v>
      </c>
      <c r="E2" s="99"/>
    </row>
    <row r="3" spans="1:5" ht="16" customHeight="1">
      <c r="A3" s="97" t="s">
        <v>789</v>
      </c>
      <c r="B3" s="200">
        <v>406.8</v>
      </c>
      <c r="C3" s="97"/>
      <c r="D3" s="2" t="s">
        <v>790</v>
      </c>
      <c r="E3" s="99">
        <f>E2-E1</f>
        <v>-6743.5750000000007</v>
      </c>
    </row>
    <row r="4" spans="1:5">
      <c r="B4" s="195">
        <v>5.13</v>
      </c>
    </row>
    <row r="5" spans="1:5">
      <c r="B5" s="195">
        <f>20.83/2</f>
        <v>10.414999999999999</v>
      </c>
    </row>
    <row r="6" spans="1:5">
      <c r="A6" s="97" t="s">
        <v>754</v>
      </c>
      <c r="B6" s="195">
        <v>50.02</v>
      </c>
    </row>
    <row r="7" spans="1:5">
      <c r="A7" s="97" t="s">
        <v>846</v>
      </c>
      <c r="B7" s="195">
        <v>100</v>
      </c>
    </row>
    <row r="8" spans="1:5">
      <c r="A8" s="97" t="s">
        <v>799</v>
      </c>
      <c r="B8" s="195">
        <v>16</v>
      </c>
    </row>
    <row r="9" spans="1:5">
      <c r="A9" s="97" t="s">
        <v>777</v>
      </c>
      <c r="B9" s="195">
        <v>160</v>
      </c>
    </row>
    <row r="10" spans="1:5">
      <c r="A10" s="97" t="s">
        <v>825</v>
      </c>
      <c r="B10" s="195">
        <v>280</v>
      </c>
    </row>
    <row r="11" spans="1:5">
      <c r="A11" s="97" t="s">
        <v>754</v>
      </c>
      <c r="B11" s="195">
        <v>15.21</v>
      </c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7"/>
  <sheetViews>
    <sheetView zoomScale="160" workbookViewId="0">
      <selection activeCell="I8" sqref="I8"/>
    </sheetView>
  </sheetViews>
  <sheetFormatPr baseColWidth="10" defaultColWidth="11.5" defaultRowHeight="15"/>
  <sheetData>
    <row r="1" spans="1:8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4187.38</v>
      </c>
    </row>
    <row r="2" spans="1:8" ht="16" customHeight="1">
      <c r="A2" s="97" t="s">
        <v>261</v>
      </c>
      <c r="B2" s="200">
        <v>3500</v>
      </c>
      <c r="C2" s="97"/>
      <c r="D2" s="2" t="s">
        <v>788</v>
      </c>
      <c r="E2" s="180">
        <v>6394.29</v>
      </c>
    </row>
    <row r="3" spans="1:8" ht="16" customHeight="1">
      <c r="A3" s="97" t="s">
        <v>789</v>
      </c>
      <c r="B3" s="200">
        <v>370.8</v>
      </c>
      <c r="C3" s="97"/>
      <c r="D3" s="2" t="s">
        <v>790</v>
      </c>
      <c r="E3" s="99">
        <f>E2-E1</f>
        <v>2206.91</v>
      </c>
    </row>
    <row r="4" spans="1:8">
      <c r="A4" s="380" t="s">
        <v>655</v>
      </c>
      <c r="B4" s="195">
        <v>14</v>
      </c>
    </row>
    <row r="5" spans="1:8">
      <c r="A5" s="380" t="s">
        <v>847</v>
      </c>
      <c r="B5" s="195">
        <v>49.99</v>
      </c>
    </row>
    <row r="6" spans="1:8">
      <c r="A6" s="380" t="s">
        <v>42</v>
      </c>
      <c r="B6" s="195">
        <v>194.29</v>
      </c>
    </row>
    <row r="7" spans="1:8">
      <c r="A7" s="380" t="s">
        <v>821</v>
      </c>
      <c r="B7" s="195">
        <v>12.5</v>
      </c>
    </row>
    <row r="8" spans="1:8">
      <c r="A8" s="380" t="s">
        <v>754</v>
      </c>
      <c r="B8" s="195">
        <f>41.56/2</f>
        <v>20.78</v>
      </c>
    </row>
    <row r="9" spans="1:8">
      <c r="A9" s="380" t="s">
        <v>754</v>
      </c>
      <c r="B9" s="195">
        <v>25.02</v>
      </c>
    </row>
    <row r="10" spans="1:8">
      <c r="B10" s="195"/>
    </row>
    <row r="11" spans="1:8">
      <c r="B11" s="195"/>
      <c r="C11" s="195"/>
      <c r="D11" s="195"/>
      <c r="E11" s="195"/>
      <c r="F11" s="195"/>
      <c r="G11" s="195"/>
      <c r="H11" s="195"/>
    </row>
    <row r="12" spans="1:8">
      <c r="B12" s="195"/>
    </row>
    <row r="13" spans="1:8">
      <c r="B13" s="195"/>
    </row>
    <row r="14" spans="1:8">
      <c r="B14" s="195"/>
    </row>
    <row r="15" spans="1:8">
      <c r="B15" s="195"/>
    </row>
    <row r="16" spans="1:8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91"/>
  <sheetViews>
    <sheetView zoomScale="156" workbookViewId="0">
      <selection activeCell="A11" sqref="A1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267">
        <f>SUM(B:B)</f>
        <v>7672.2</v>
      </c>
    </row>
    <row r="2" spans="1:5" ht="16" customHeight="1">
      <c r="A2" s="97" t="s">
        <v>261</v>
      </c>
      <c r="B2" s="200">
        <v>6700</v>
      </c>
      <c r="C2" s="97"/>
      <c r="D2" s="2" t="s">
        <v>788</v>
      </c>
      <c r="E2" s="267">
        <v>9795</v>
      </c>
    </row>
    <row r="3" spans="1:5" ht="16" customHeight="1">
      <c r="A3" s="97" t="s">
        <v>789</v>
      </c>
      <c r="B3" s="200">
        <v>346.8</v>
      </c>
      <c r="C3" s="97"/>
      <c r="D3" s="2" t="s">
        <v>790</v>
      </c>
      <c r="E3" s="267">
        <f>E2-E1</f>
        <v>2122.8000000000002</v>
      </c>
    </row>
    <row r="4" spans="1:5">
      <c r="A4" s="97" t="s">
        <v>754</v>
      </c>
      <c r="B4" s="195">
        <f>25.02/2</f>
        <v>12.51</v>
      </c>
      <c r="E4" s="162"/>
    </row>
    <row r="5" spans="1:5">
      <c r="A5" s="97" t="s">
        <v>754</v>
      </c>
      <c r="B5" s="195">
        <v>8.1199999999999992</v>
      </c>
    </row>
    <row r="6" spans="1:5">
      <c r="A6" s="97" t="s">
        <v>655</v>
      </c>
      <c r="B6" s="195">
        <v>18</v>
      </c>
    </row>
    <row r="7" spans="1:5">
      <c r="A7" s="97" t="s">
        <v>754</v>
      </c>
      <c r="B7" s="195">
        <v>8.0399999999999991</v>
      </c>
    </row>
    <row r="8" spans="1:5">
      <c r="A8" s="97" t="s">
        <v>42</v>
      </c>
      <c r="B8" s="195">
        <v>52.45</v>
      </c>
    </row>
    <row r="9" spans="1:5">
      <c r="A9" t="s">
        <v>810</v>
      </c>
      <c r="B9" s="195">
        <v>120</v>
      </c>
    </row>
    <row r="10" spans="1:5">
      <c r="A10" s="97" t="s">
        <v>848</v>
      </c>
      <c r="B10" s="195">
        <v>406.28</v>
      </c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  <row r="34" spans="2:2">
      <c r="B34" s="195"/>
    </row>
    <row r="35" spans="2:2">
      <c r="B35" s="195"/>
    </row>
    <row r="36" spans="2:2">
      <c r="B36" s="195"/>
    </row>
    <row r="37" spans="2:2">
      <c r="B37" s="195"/>
    </row>
    <row r="38" spans="2:2">
      <c r="B38" s="195"/>
    </row>
    <row r="39" spans="2:2">
      <c r="B39" s="195"/>
    </row>
    <row r="40" spans="2:2">
      <c r="B40" s="195"/>
    </row>
    <row r="41" spans="2:2">
      <c r="B41" s="195"/>
    </row>
    <row r="42" spans="2:2">
      <c r="B42" s="195"/>
    </row>
    <row r="43" spans="2:2">
      <c r="B43" s="195"/>
    </row>
    <row r="44" spans="2:2">
      <c r="B44" s="195"/>
    </row>
    <row r="45" spans="2:2">
      <c r="B45" s="195"/>
    </row>
    <row r="46" spans="2:2">
      <c r="B46" s="195"/>
    </row>
    <row r="47" spans="2:2">
      <c r="B47" s="195"/>
    </row>
    <row r="48" spans="2:2">
      <c r="B48" s="195"/>
    </row>
    <row r="49" spans="2:2">
      <c r="B49" s="195"/>
    </row>
    <row r="50" spans="2:2">
      <c r="B50" s="195"/>
    </row>
    <row r="51" spans="2:2">
      <c r="B51" s="195"/>
    </row>
    <row r="52" spans="2:2">
      <c r="B52" s="195"/>
    </row>
    <row r="53" spans="2:2">
      <c r="B53" s="195"/>
    </row>
    <row r="54" spans="2:2">
      <c r="B54" s="195"/>
    </row>
    <row r="55" spans="2:2">
      <c r="B55" s="195"/>
    </row>
    <row r="56" spans="2:2">
      <c r="B56" s="195"/>
    </row>
    <row r="57" spans="2:2">
      <c r="B57" s="195"/>
    </row>
    <row r="58" spans="2:2">
      <c r="B58" s="195"/>
    </row>
    <row r="59" spans="2:2">
      <c r="B59" s="195"/>
    </row>
    <row r="60" spans="2:2">
      <c r="B60" s="195"/>
    </row>
    <row r="61" spans="2:2">
      <c r="B61" s="195"/>
    </row>
    <row r="62" spans="2:2">
      <c r="B62" s="195"/>
    </row>
    <row r="63" spans="2:2">
      <c r="B63" s="195"/>
    </row>
    <row r="64" spans="2:2">
      <c r="B64" s="195"/>
    </row>
    <row r="65" spans="2:2">
      <c r="B65" s="195"/>
    </row>
    <row r="66" spans="2:2">
      <c r="B66" s="195"/>
    </row>
    <row r="67" spans="2:2">
      <c r="B67" s="195"/>
    </row>
    <row r="68" spans="2:2">
      <c r="B68" s="195"/>
    </row>
    <row r="69" spans="2:2">
      <c r="B69" s="195"/>
    </row>
    <row r="70" spans="2:2">
      <c r="B70" s="195"/>
    </row>
    <row r="71" spans="2:2">
      <c r="B71" s="195"/>
    </row>
    <row r="72" spans="2:2">
      <c r="B72" s="195"/>
    </row>
    <row r="73" spans="2:2">
      <c r="B73" s="195"/>
    </row>
    <row r="74" spans="2:2">
      <c r="B74" s="195"/>
    </row>
    <row r="75" spans="2:2">
      <c r="B75" s="195"/>
    </row>
    <row r="76" spans="2:2">
      <c r="B76" s="195"/>
    </row>
    <row r="77" spans="2:2">
      <c r="B77" s="195"/>
    </row>
    <row r="78" spans="2:2">
      <c r="B78" s="195"/>
    </row>
    <row r="79" spans="2:2">
      <c r="B79" s="195"/>
    </row>
    <row r="80" spans="2:2">
      <c r="B80" s="195"/>
    </row>
    <row r="81" spans="2:2">
      <c r="B81" s="195"/>
    </row>
    <row r="82" spans="2:2">
      <c r="B82" s="195"/>
    </row>
    <row r="83" spans="2:2">
      <c r="B83" s="195"/>
    </row>
    <row r="84" spans="2:2">
      <c r="B84" s="195"/>
    </row>
    <row r="85" spans="2:2">
      <c r="B85" s="195"/>
    </row>
    <row r="86" spans="2:2">
      <c r="B86" s="195"/>
    </row>
    <row r="87" spans="2:2">
      <c r="B87" s="195"/>
    </row>
    <row r="88" spans="2:2">
      <c r="B88" s="195"/>
    </row>
    <row r="89" spans="2:2">
      <c r="B89" s="195"/>
    </row>
    <row r="90" spans="2:2">
      <c r="B90" s="195"/>
    </row>
    <row r="91" spans="2:2">
      <c r="B91" s="195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28"/>
  <sheetViews>
    <sheetView workbookViewId="0">
      <selection activeCell="F3" sqref="F3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5947.6100000000006</v>
      </c>
    </row>
    <row r="2" spans="1:5" ht="16" customHeight="1">
      <c r="A2" s="97" t="s">
        <v>261</v>
      </c>
      <c r="B2" s="200">
        <v>4925</v>
      </c>
      <c r="C2" s="97"/>
      <c r="D2" s="2" t="s">
        <v>788</v>
      </c>
      <c r="E2" s="99">
        <v>7995</v>
      </c>
    </row>
    <row r="3" spans="1:5" ht="16" customHeight="1">
      <c r="A3" s="97" t="s">
        <v>789</v>
      </c>
      <c r="B3" s="200">
        <v>406.8</v>
      </c>
      <c r="C3" s="97"/>
      <c r="D3" s="2" t="s">
        <v>790</v>
      </c>
      <c r="E3" s="99">
        <f>E2-E1</f>
        <v>2047.3899999999994</v>
      </c>
    </row>
    <row r="4" spans="1:5">
      <c r="A4" s="97" t="s">
        <v>777</v>
      </c>
      <c r="B4" s="195">
        <v>250</v>
      </c>
    </row>
    <row r="5" spans="1:5">
      <c r="A5" s="97" t="s">
        <v>821</v>
      </c>
      <c r="B5" s="195">
        <v>12.5</v>
      </c>
    </row>
    <row r="6" spans="1:5">
      <c r="A6" s="97" t="s">
        <v>655</v>
      </c>
      <c r="B6" s="195">
        <v>16</v>
      </c>
    </row>
    <row r="7" spans="1:5">
      <c r="A7" s="97" t="s">
        <v>849</v>
      </c>
      <c r="B7" s="195">
        <v>250</v>
      </c>
    </row>
    <row r="8" spans="1:5">
      <c r="A8" s="97" t="s">
        <v>754</v>
      </c>
      <c r="B8" s="195">
        <v>9.59</v>
      </c>
    </row>
    <row r="9" spans="1:5">
      <c r="A9" s="97" t="s">
        <v>42</v>
      </c>
      <c r="B9" s="195">
        <v>77.72</v>
      </c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24"/>
  <sheetViews>
    <sheetView workbookViewId="0">
      <selection activeCell="A8" sqref="A8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SUM(B$3:B$1048576)</f>
        <v>122.46000000000001</v>
      </c>
    </row>
    <row r="2" spans="1:5" ht="16" customHeight="1">
      <c r="A2" s="97" t="s">
        <v>260</v>
      </c>
      <c r="B2" s="200">
        <v>4000</v>
      </c>
      <c r="C2" s="97"/>
      <c r="D2" s="2" t="s">
        <v>788</v>
      </c>
      <c r="E2" s="99">
        <v>6495</v>
      </c>
    </row>
    <row r="3" spans="1:5" ht="16" customHeight="1">
      <c r="A3" s="97" t="s">
        <v>655</v>
      </c>
      <c r="B3" s="200">
        <v>8</v>
      </c>
      <c r="C3" s="97"/>
      <c r="D3" s="2" t="s">
        <v>790</v>
      </c>
      <c r="E3" s="99">
        <f>E2-E1</f>
        <v>6372.54</v>
      </c>
    </row>
    <row r="4" spans="1:5">
      <c r="A4" s="97" t="s">
        <v>850</v>
      </c>
      <c r="B4" s="195">
        <v>19</v>
      </c>
    </row>
    <row r="5" spans="1:5">
      <c r="A5" s="97" t="s">
        <v>754</v>
      </c>
      <c r="B5" s="195">
        <v>8.2799999999999994</v>
      </c>
    </row>
    <row r="6" spans="1:5">
      <c r="A6" s="97" t="s">
        <v>791</v>
      </c>
      <c r="B6" s="195">
        <v>9.4600000000000009</v>
      </c>
    </row>
    <row r="7" spans="1:5">
      <c r="A7" s="97" t="s">
        <v>807</v>
      </c>
      <c r="B7" s="195">
        <v>77.72</v>
      </c>
    </row>
    <row r="8" spans="1:5">
      <c r="B8" s="195"/>
    </row>
    <row r="9" spans="1:5">
      <c r="B9" s="195"/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22"/>
  <sheetViews>
    <sheetView workbookViewId="0">
      <selection activeCell="C9" sqref="C9"/>
    </sheetView>
  </sheetViews>
  <sheetFormatPr baseColWidth="10" defaultColWidth="11.5" defaultRowHeight="15"/>
  <cols>
    <col min="1" max="1" width="16.832031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v>551.27</v>
      </c>
    </row>
    <row r="2" spans="1:5" ht="16" customHeight="1">
      <c r="A2" s="97" t="s">
        <v>260</v>
      </c>
      <c r="B2" s="200">
        <v>1500</v>
      </c>
      <c r="C2" s="97"/>
      <c r="D2" s="2" t="s">
        <v>788</v>
      </c>
      <c r="E2" s="99">
        <v>2900</v>
      </c>
    </row>
    <row r="3" spans="1:5">
      <c r="A3" s="97" t="s">
        <v>851</v>
      </c>
      <c r="B3" s="195">
        <v>37.99</v>
      </c>
      <c r="D3" t="s">
        <v>263</v>
      </c>
      <c r="E3" s="162">
        <f>E2-E1</f>
        <v>2348.73</v>
      </c>
    </row>
    <row r="4" spans="1:5">
      <c r="A4" s="97" t="s">
        <v>655</v>
      </c>
      <c r="B4" s="195">
        <v>10</v>
      </c>
    </row>
    <row r="5" spans="1:5">
      <c r="A5" s="97" t="s">
        <v>777</v>
      </c>
      <c r="B5" s="195">
        <v>200</v>
      </c>
    </row>
    <row r="6" spans="1:5">
      <c r="A6" s="97" t="s">
        <v>852</v>
      </c>
      <c r="B6" s="195">
        <v>5.56</v>
      </c>
    </row>
    <row r="7" spans="1:5">
      <c r="A7" s="97" t="s">
        <v>42</v>
      </c>
      <c r="B7" s="195">
        <v>77.72</v>
      </c>
    </row>
    <row r="8" spans="1:5">
      <c r="A8" s="97" t="s">
        <v>810</v>
      </c>
      <c r="B8" s="195">
        <v>220</v>
      </c>
    </row>
    <row r="9" spans="1:5">
      <c r="A9" s="97" t="s">
        <v>853</v>
      </c>
      <c r="B9" s="195">
        <v>230</v>
      </c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4"/>
  <sheetViews>
    <sheetView workbookViewId="0">
      <selection activeCell="F2" sqref="F2"/>
    </sheetView>
  </sheetViews>
  <sheetFormatPr baseColWidth="10" defaultColWidth="11.5" defaultRowHeight="15"/>
  <cols>
    <col min="1" max="1" width="12.16406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6686.68</v>
      </c>
    </row>
    <row r="2" spans="1:5" ht="16" customHeight="1">
      <c r="A2" s="97" t="s">
        <v>854</v>
      </c>
      <c r="B2" s="200">
        <v>3850</v>
      </c>
      <c r="C2" s="97"/>
      <c r="D2" s="2" t="s">
        <v>788</v>
      </c>
      <c r="E2" s="99"/>
    </row>
    <row r="3" spans="1:5" ht="16" customHeight="1">
      <c r="A3" s="97" t="s">
        <v>789</v>
      </c>
      <c r="B3" s="200">
        <v>322.8</v>
      </c>
      <c r="C3" s="97"/>
      <c r="D3" s="2" t="s">
        <v>790</v>
      </c>
      <c r="E3" s="99">
        <f>E2-E1</f>
        <v>-6686.68</v>
      </c>
    </row>
    <row r="4" spans="1:5">
      <c r="A4" s="97" t="s">
        <v>855</v>
      </c>
      <c r="B4" s="195">
        <v>320</v>
      </c>
    </row>
    <row r="5" spans="1:5">
      <c r="A5" s="97" t="s">
        <v>791</v>
      </c>
      <c r="B5" s="195">
        <v>5</v>
      </c>
    </row>
    <row r="6" spans="1:5">
      <c r="A6" t="s">
        <v>777</v>
      </c>
      <c r="B6" s="195">
        <v>250</v>
      </c>
    </row>
    <row r="7" spans="1:5">
      <c r="A7" s="97" t="s">
        <v>791</v>
      </c>
      <c r="B7" s="195">
        <v>9.9600000000000009</v>
      </c>
    </row>
    <row r="8" spans="1:5">
      <c r="A8" s="97" t="s">
        <v>757</v>
      </c>
      <c r="B8" s="195">
        <v>240</v>
      </c>
    </row>
    <row r="9" spans="1:5">
      <c r="A9" s="97" t="s">
        <v>655</v>
      </c>
      <c r="B9" s="195">
        <v>8</v>
      </c>
    </row>
    <row r="10" spans="1:5">
      <c r="A10" s="97" t="s">
        <v>791</v>
      </c>
      <c r="B10" s="195">
        <v>4.99</v>
      </c>
    </row>
    <row r="11" spans="1:5">
      <c r="A11" s="97" t="s">
        <v>798</v>
      </c>
      <c r="B11" s="195">
        <v>1.5</v>
      </c>
    </row>
    <row r="12" spans="1:5">
      <c r="A12" s="97" t="s">
        <v>856</v>
      </c>
      <c r="B12" s="195">
        <v>151.19999999999999</v>
      </c>
    </row>
    <row r="13" spans="1:5">
      <c r="A13" t="s">
        <v>857</v>
      </c>
      <c r="B13" s="195">
        <v>623.23</v>
      </c>
    </row>
    <row r="14" spans="1:5">
      <c r="B14" s="195">
        <v>900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4"/>
  <sheetViews>
    <sheetView workbookViewId="0">
      <selection activeCell="E16" sqref="E16"/>
    </sheetView>
  </sheetViews>
  <sheetFormatPr baseColWidth="10" defaultColWidth="11.5" defaultRowHeight="15"/>
  <cols>
    <col min="3" max="3" width="12.66406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1328.74</v>
      </c>
    </row>
    <row r="2" spans="1:5" ht="16" customHeight="1">
      <c r="A2" s="97" t="s">
        <v>854</v>
      </c>
      <c r="B2" s="109">
        <v>850</v>
      </c>
      <c r="C2" s="97"/>
      <c r="D2" s="2" t="s">
        <v>788</v>
      </c>
      <c r="E2" s="99">
        <v>2000</v>
      </c>
    </row>
    <row r="3" spans="1:5" ht="16" customHeight="1">
      <c r="A3" s="97" t="s">
        <v>789</v>
      </c>
      <c r="B3" s="200">
        <v>370.8</v>
      </c>
      <c r="C3" s="97"/>
      <c r="D3" s="2" t="s">
        <v>790</v>
      </c>
      <c r="E3" s="99">
        <f>E2-E1</f>
        <v>671.26</v>
      </c>
    </row>
    <row r="4" spans="1:5">
      <c r="A4" s="97" t="s">
        <v>42</v>
      </c>
      <c r="B4">
        <v>107.94</v>
      </c>
      <c r="C4" t="s">
        <v>858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25"/>
  <sheetViews>
    <sheetView workbookViewId="0">
      <selection activeCell="B16" sqref="B16"/>
    </sheetView>
  </sheetViews>
  <sheetFormatPr baseColWidth="10" defaultColWidth="11.5" defaultRowHeight="15"/>
  <cols>
    <col min="1" max="1" width="12.16406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6388.2400000000007</v>
      </c>
    </row>
    <row r="2" spans="1:5" ht="16" customHeight="1">
      <c r="A2" s="97" t="s">
        <v>854</v>
      </c>
      <c r="B2" s="109">
        <v>5300</v>
      </c>
      <c r="C2" s="97"/>
      <c r="D2" s="2" t="s">
        <v>788</v>
      </c>
      <c r="E2" s="99"/>
    </row>
    <row r="3" spans="1:5" ht="16" customHeight="1">
      <c r="A3" s="97" t="s">
        <v>789</v>
      </c>
      <c r="B3" s="200">
        <v>406.8</v>
      </c>
      <c r="C3" s="97"/>
      <c r="D3" s="2" t="s">
        <v>790</v>
      </c>
      <c r="E3" s="99">
        <f>E2-E1</f>
        <v>-6388.2400000000007</v>
      </c>
    </row>
    <row r="4" spans="1:5">
      <c r="A4" s="97" t="s">
        <v>754</v>
      </c>
      <c r="B4" s="195">
        <v>25.01</v>
      </c>
    </row>
    <row r="5" spans="1:5">
      <c r="A5" s="97" t="s">
        <v>450</v>
      </c>
      <c r="B5" s="195">
        <f>(20.09+22.59)/2</f>
        <v>21.34</v>
      </c>
    </row>
    <row r="6" spans="1:5">
      <c r="A6" s="97" t="s">
        <v>451</v>
      </c>
      <c r="B6" s="195">
        <f>7.9/2</f>
        <v>3.95</v>
      </c>
    </row>
    <row r="7" spans="1:5">
      <c r="A7" s="97" t="s">
        <v>463</v>
      </c>
      <c r="B7" s="195">
        <v>5.55</v>
      </c>
    </row>
    <row r="8" spans="1:5">
      <c r="A8" s="97" t="s">
        <v>777</v>
      </c>
      <c r="B8" s="195">
        <v>100</v>
      </c>
    </row>
    <row r="9" spans="1:5">
      <c r="A9" s="97" t="s">
        <v>754</v>
      </c>
      <c r="B9" s="195">
        <v>9.99</v>
      </c>
    </row>
    <row r="10" spans="1:5">
      <c r="A10" s="97" t="s">
        <v>859</v>
      </c>
      <c r="B10" s="195">
        <v>5.39</v>
      </c>
    </row>
    <row r="11" spans="1:5">
      <c r="A11" s="380" t="s">
        <v>860</v>
      </c>
      <c r="B11" s="195">
        <v>350</v>
      </c>
    </row>
    <row r="12" spans="1:5">
      <c r="A12" s="380" t="s">
        <v>791</v>
      </c>
      <c r="B12" s="195">
        <v>10.27</v>
      </c>
    </row>
    <row r="13" spans="1:5">
      <c r="A13" s="97" t="s">
        <v>861</v>
      </c>
      <c r="B13" s="195">
        <v>4.99</v>
      </c>
    </row>
    <row r="14" spans="1:5">
      <c r="A14" s="97" t="s">
        <v>831</v>
      </c>
      <c r="B14" s="195">
        <v>50</v>
      </c>
    </row>
    <row r="15" spans="1:5">
      <c r="A15" s="97" t="s">
        <v>754</v>
      </c>
      <c r="B15" s="195">
        <v>17.23</v>
      </c>
    </row>
    <row r="16" spans="1:5">
      <c r="A16" s="97" t="s">
        <v>42</v>
      </c>
      <c r="B16" s="195">
        <v>77.72</v>
      </c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5"/>
  <sheetViews>
    <sheetView workbookViewId="0">
      <selection activeCell="B11" sqref="B11"/>
    </sheetView>
  </sheetViews>
  <sheetFormatPr baseColWidth="10" defaultColWidth="11.5" defaultRowHeight="15"/>
  <sheetData>
    <row r="1" spans="1:6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6397.64</v>
      </c>
    </row>
    <row r="2" spans="1:6" ht="16" customHeight="1">
      <c r="A2" s="97" t="s">
        <v>854</v>
      </c>
      <c r="B2" s="109">
        <v>5500</v>
      </c>
      <c r="C2" s="97"/>
      <c r="D2" s="2" t="s">
        <v>788</v>
      </c>
      <c r="E2" s="99">
        <v>8795</v>
      </c>
    </row>
    <row r="3" spans="1:6" ht="16" customHeight="1">
      <c r="A3" s="97" t="s">
        <v>789</v>
      </c>
      <c r="B3" s="200">
        <v>346.8</v>
      </c>
      <c r="C3" s="97"/>
      <c r="D3" s="2" t="s">
        <v>790</v>
      </c>
      <c r="E3" s="99">
        <f>E2-E1</f>
        <v>2397.3599999999997</v>
      </c>
      <c r="F3">
        <f>E3*0.5+158</f>
        <v>1356.6799999999998</v>
      </c>
    </row>
    <row r="4" spans="1:6">
      <c r="A4" s="97" t="s">
        <v>450</v>
      </c>
      <c r="B4" s="195">
        <f>(20.09+22.59)/2</f>
        <v>21.34</v>
      </c>
    </row>
    <row r="5" spans="1:6">
      <c r="A5" s="97" t="s">
        <v>451</v>
      </c>
      <c r="B5" s="195">
        <f>7.9/2</f>
        <v>3.95</v>
      </c>
    </row>
    <row r="6" spans="1:6">
      <c r="A6" s="97" t="s">
        <v>463</v>
      </c>
      <c r="B6" s="195">
        <v>5.55</v>
      </c>
    </row>
    <row r="7" spans="1:6">
      <c r="A7" s="97" t="s">
        <v>760</v>
      </c>
      <c r="B7" s="195">
        <v>40</v>
      </c>
    </row>
    <row r="8" spans="1:6">
      <c r="A8" s="97" t="s">
        <v>770</v>
      </c>
      <c r="B8" s="195">
        <v>135</v>
      </c>
    </row>
    <row r="9" spans="1:6">
      <c r="A9" s="97" t="s">
        <v>810</v>
      </c>
      <c r="B9" s="195">
        <v>180</v>
      </c>
    </row>
    <row r="10" spans="1:6">
      <c r="A10" s="97" t="s">
        <v>823</v>
      </c>
      <c r="B10" s="195">
        <v>165</v>
      </c>
    </row>
    <row r="11" spans="1:6">
      <c r="A11" s="97" t="s">
        <v>42</v>
      </c>
      <c r="B11" s="195"/>
    </row>
    <row r="12" spans="1:6">
      <c r="B12" s="195"/>
    </row>
    <row r="13" spans="1:6">
      <c r="B13" s="195"/>
    </row>
    <row r="14" spans="1:6">
      <c r="B14" s="195"/>
    </row>
    <row r="15" spans="1:6">
      <c r="B15" s="195"/>
    </row>
    <row r="16" spans="1:6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80"/>
  <sheetViews>
    <sheetView workbookViewId="0">
      <selection activeCell="K28" sqref="K28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5253.02</v>
      </c>
    </row>
    <row r="2" spans="1:5" ht="16" customHeight="1">
      <c r="A2" s="97" t="s">
        <v>854</v>
      </c>
      <c r="B2" s="109">
        <v>4600</v>
      </c>
      <c r="C2" s="97"/>
      <c r="D2" s="2" t="s">
        <v>788</v>
      </c>
      <c r="E2" s="99">
        <v>8995</v>
      </c>
    </row>
    <row r="3" spans="1:5" ht="16" customHeight="1">
      <c r="A3" s="97" t="s">
        <v>789</v>
      </c>
      <c r="B3" s="200">
        <v>346.8</v>
      </c>
      <c r="C3" s="97"/>
      <c r="D3" s="2" t="s">
        <v>790</v>
      </c>
      <c r="E3" s="99">
        <f>E2-E1</f>
        <v>3741.9799999999996</v>
      </c>
    </row>
    <row r="4" spans="1:5">
      <c r="A4" s="97" t="s">
        <v>862</v>
      </c>
      <c r="B4" s="195">
        <v>115</v>
      </c>
    </row>
    <row r="5" spans="1:5">
      <c r="A5" s="97" t="s">
        <v>754</v>
      </c>
      <c r="B5" s="195">
        <v>36.1</v>
      </c>
    </row>
    <row r="6" spans="1:5">
      <c r="A6" s="97" t="s">
        <v>754</v>
      </c>
      <c r="B6" s="195">
        <v>29.4</v>
      </c>
    </row>
    <row r="7" spans="1:5">
      <c r="A7" s="97" t="s">
        <v>655</v>
      </c>
      <c r="B7" s="195">
        <v>8</v>
      </c>
    </row>
    <row r="8" spans="1:5">
      <c r="A8" s="97" t="s">
        <v>760</v>
      </c>
      <c r="B8" s="195">
        <v>40</v>
      </c>
    </row>
    <row r="9" spans="1:5">
      <c r="A9" s="97" t="s">
        <v>42</v>
      </c>
      <c r="B9" s="195">
        <v>77.72</v>
      </c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  <row r="34" spans="2:2">
      <c r="B34" s="195"/>
    </row>
    <row r="35" spans="2:2">
      <c r="B35" s="195"/>
    </row>
    <row r="36" spans="2:2">
      <c r="B36" s="195"/>
    </row>
    <row r="37" spans="2:2">
      <c r="B37" s="195"/>
    </row>
    <row r="38" spans="2:2">
      <c r="B38" s="195"/>
    </row>
    <row r="39" spans="2:2">
      <c r="B39" s="195"/>
    </row>
    <row r="40" spans="2:2">
      <c r="B40" s="195"/>
    </row>
    <row r="41" spans="2:2">
      <c r="B41" s="195"/>
    </row>
    <row r="42" spans="2:2">
      <c r="B42" s="195"/>
    </row>
    <row r="43" spans="2:2">
      <c r="B43" s="195"/>
    </row>
    <row r="44" spans="2:2">
      <c r="B44" s="195"/>
    </row>
    <row r="45" spans="2:2">
      <c r="B45" s="195"/>
    </row>
    <row r="46" spans="2:2">
      <c r="B46" s="195"/>
    </row>
    <row r="47" spans="2:2">
      <c r="B47" s="195"/>
    </row>
    <row r="48" spans="2:2">
      <c r="B48" s="195"/>
    </row>
    <row r="49" spans="2:2">
      <c r="B49" s="195"/>
    </row>
    <row r="50" spans="2:2">
      <c r="B50" s="195"/>
    </row>
    <row r="51" spans="2:2">
      <c r="B51" s="195"/>
    </row>
    <row r="52" spans="2:2">
      <c r="B52" s="195"/>
    </row>
    <row r="53" spans="2:2">
      <c r="B53" s="195"/>
    </row>
    <row r="54" spans="2:2">
      <c r="B54" s="195"/>
    </row>
    <row r="55" spans="2:2">
      <c r="B55" s="195"/>
    </row>
    <row r="56" spans="2:2">
      <c r="B56" s="195"/>
    </row>
    <row r="57" spans="2:2">
      <c r="B57" s="195"/>
    </row>
    <row r="58" spans="2:2">
      <c r="B58" s="195"/>
    </row>
    <row r="59" spans="2:2">
      <c r="B59" s="195"/>
    </row>
    <row r="60" spans="2:2">
      <c r="B60" s="195"/>
    </row>
    <row r="61" spans="2:2">
      <c r="B61" s="195"/>
    </row>
    <row r="62" spans="2:2">
      <c r="B62" s="195"/>
    </row>
    <row r="63" spans="2:2">
      <c r="B63" s="195"/>
    </row>
    <row r="64" spans="2:2">
      <c r="B64" s="195"/>
    </row>
    <row r="65" spans="2:2">
      <c r="B65" s="195"/>
    </row>
    <row r="66" spans="2:2">
      <c r="B66" s="195"/>
    </row>
    <row r="67" spans="2:2">
      <c r="B67" s="195"/>
    </row>
    <row r="68" spans="2:2">
      <c r="B68" s="195"/>
    </row>
    <row r="69" spans="2:2">
      <c r="B69" s="195"/>
    </row>
    <row r="70" spans="2:2">
      <c r="B70" s="195"/>
    </row>
    <row r="71" spans="2:2">
      <c r="B71" s="195"/>
    </row>
    <row r="72" spans="2:2">
      <c r="B72" s="195"/>
    </row>
    <row r="73" spans="2:2">
      <c r="B73" s="195"/>
    </row>
    <row r="74" spans="2:2">
      <c r="B74" s="195"/>
    </row>
    <row r="75" spans="2:2">
      <c r="B75" s="195"/>
    </row>
    <row r="76" spans="2:2">
      <c r="B76" s="195"/>
    </row>
    <row r="77" spans="2:2">
      <c r="B77" s="195"/>
    </row>
    <row r="78" spans="2:2">
      <c r="B78" s="195"/>
    </row>
    <row r="79" spans="2:2">
      <c r="B79" s="195"/>
    </row>
    <row r="80" spans="2:2">
      <c r="B80" s="195"/>
    </row>
    <row r="81" spans="2:2">
      <c r="B81" s="195"/>
    </row>
    <row r="82" spans="2:2">
      <c r="B82" s="195"/>
    </row>
    <row r="83" spans="2:2">
      <c r="B83" s="195"/>
    </row>
    <row r="84" spans="2:2">
      <c r="B84" s="195"/>
    </row>
    <row r="85" spans="2:2">
      <c r="B85" s="195"/>
    </row>
    <row r="86" spans="2:2">
      <c r="B86" s="195"/>
    </row>
    <row r="87" spans="2:2">
      <c r="B87" s="195"/>
    </row>
    <row r="88" spans="2:2">
      <c r="B88" s="195"/>
    </row>
    <row r="89" spans="2:2">
      <c r="B89" s="195"/>
    </row>
    <row r="90" spans="2:2">
      <c r="B90" s="195"/>
    </row>
    <row r="91" spans="2:2">
      <c r="B91" s="195"/>
    </row>
    <row r="92" spans="2:2">
      <c r="B92" s="195"/>
    </row>
    <row r="93" spans="2:2">
      <c r="B93" s="195"/>
    </row>
    <row r="94" spans="2:2">
      <c r="B94" s="195"/>
    </row>
    <row r="95" spans="2:2">
      <c r="B95" s="195"/>
    </row>
    <row r="96" spans="2:2">
      <c r="B96" s="195"/>
    </row>
    <row r="97" spans="2:2">
      <c r="B97" s="195"/>
    </row>
    <row r="98" spans="2:2">
      <c r="B98" s="195"/>
    </row>
    <row r="99" spans="2:2">
      <c r="B99" s="195"/>
    </row>
    <row r="100" spans="2:2">
      <c r="B100" s="195"/>
    </row>
    <row r="101" spans="2:2">
      <c r="B101" s="195"/>
    </row>
    <row r="102" spans="2:2">
      <c r="B102" s="195"/>
    </row>
    <row r="103" spans="2:2">
      <c r="B103" s="195"/>
    </row>
    <row r="104" spans="2:2">
      <c r="B104" s="195"/>
    </row>
    <row r="105" spans="2:2">
      <c r="B105" s="195"/>
    </row>
    <row r="106" spans="2:2">
      <c r="B106" s="195"/>
    </row>
    <row r="107" spans="2:2">
      <c r="B107" s="195"/>
    </row>
    <row r="108" spans="2:2">
      <c r="B108" s="195"/>
    </row>
    <row r="109" spans="2:2">
      <c r="B109" s="195"/>
    </row>
    <row r="110" spans="2:2">
      <c r="B110" s="195"/>
    </row>
    <row r="111" spans="2:2">
      <c r="B111" s="195"/>
    </row>
    <row r="112" spans="2:2">
      <c r="B112" s="195"/>
    </row>
    <row r="113" spans="2:2">
      <c r="B113" s="195"/>
    </row>
    <row r="114" spans="2:2">
      <c r="B114" s="195"/>
    </row>
    <row r="115" spans="2:2">
      <c r="B115" s="195"/>
    </row>
    <row r="116" spans="2:2">
      <c r="B116" s="195"/>
    </row>
    <row r="117" spans="2:2">
      <c r="B117" s="195"/>
    </row>
    <row r="118" spans="2:2">
      <c r="B118" s="195"/>
    </row>
    <row r="119" spans="2:2">
      <c r="B119" s="195"/>
    </row>
    <row r="120" spans="2:2">
      <c r="B120" s="195"/>
    </row>
    <row r="121" spans="2:2">
      <c r="B121" s="195"/>
    </row>
    <row r="122" spans="2:2">
      <c r="B122" s="195"/>
    </row>
    <row r="123" spans="2:2">
      <c r="B123" s="195"/>
    </row>
    <row r="124" spans="2:2">
      <c r="B124" s="195"/>
    </row>
    <row r="125" spans="2:2">
      <c r="B125" s="195"/>
    </row>
    <row r="126" spans="2:2">
      <c r="B126" s="195"/>
    </row>
    <row r="127" spans="2:2">
      <c r="B127" s="195"/>
    </row>
    <row r="128" spans="2:2">
      <c r="B128" s="195"/>
    </row>
    <row r="129" spans="2:2">
      <c r="B129" s="195"/>
    </row>
    <row r="130" spans="2:2">
      <c r="B130" s="195"/>
    </row>
    <row r="131" spans="2:2">
      <c r="B131" s="195"/>
    </row>
    <row r="132" spans="2:2">
      <c r="B132" s="195"/>
    </row>
    <row r="133" spans="2:2">
      <c r="B133" s="195"/>
    </row>
    <row r="134" spans="2:2">
      <c r="B134" s="195"/>
    </row>
    <row r="135" spans="2:2">
      <c r="B135" s="195"/>
    </row>
    <row r="136" spans="2:2">
      <c r="B136" s="195"/>
    </row>
    <row r="137" spans="2:2">
      <c r="B137" s="195"/>
    </row>
    <row r="138" spans="2:2">
      <c r="B138" s="195"/>
    </row>
    <row r="139" spans="2:2">
      <c r="B139" s="195"/>
    </row>
    <row r="140" spans="2:2">
      <c r="B140" s="195"/>
    </row>
    <row r="141" spans="2:2">
      <c r="B141" s="195"/>
    </row>
    <row r="142" spans="2:2">
      <c r="B142" s="195"/>
    </row>
    <row r="143" spans="2:2">
      <c r="B143" s="195"/>
    </row>
    <row r="144" spans="2:2">
      <c r="B144" s="195"/>
    </row>
    <row r="145" spans="2:2">
      <c r="B145" s="195"/>
    </row>
    <row r="146" spans="2:2">
      <c r="B146" s="195"/>
    </row>
    <row r="147" spans="2:2">
      <c r="B147" s="195"/>
    </row>
    <row r="148" spans="2:2">
      <c r="B148" s="195"/>
    </row>
    <row r="149" spans="2:2">
      <c r="B149" s="195"/>
    </row>
    <row r="150" spans="2:2">
      <c r="B150" s="195"/>
    </row>
    <row r="151" spans="2:2">
      <c r="B151" s="195"/>
    </row>
    <row r="152" spans="2:2">
      <c r="B152" s="195"/>
    </row>
    <row r="153" spans="2:2">
      <c r="B153" s="195"/>
    </row>
    <row r="154" spans="2:2">
      <c r="B154" s="195"/>
    </row>
    <row r="155" spans="2:2">
      <c r="B155" s="195"/>
    </row>
    <row r="156" spans="2:2">
      <c r="B156" s="195"/>
    </row>
    <row r="157" spans="2:2">
      <c r="B157" s="195"/>
    </row>
    <row r="158" spans="2:2">
      <c r="B158" s="195"/>
    </row>
    <row r="159" spans="2:2">
      <c r="B159" s="195"/>
    </row>
    <row r="160" spans="2:2">
      <c r="B160" s="195"/>
    </row>
    <row r="161" spans="2:2">
      <c r="B161" s="195"/>
    </row>
    <row r="162" spans="2:2">
      <c r="B162" s="195"/>
    </row>
    <row r="163" spans="2:2">
      <c r="B163" s="195"/>
    </row>
    <row r="164" spans="2:2">
      <c r="B164" s="195"/>
    </row>
    <row r="165" spans="2:2">
      <c r="B165" s="195"/>
    </row>
    <row r="166" spans="2:2">
      <c r="B166" s="195"/>
    </row>
    <row r="167" spans="2:2">
      <c r="B167" s="195"/>
    </row>
    <row r="168" spans="2:2">
      <c r="B168" s="195"/>
    </row>
    <row r="169" spans="2:2">
      <c r="B169" s="195"/>
    </row>
    <row r="170" spans="2:2">
      <c r="B170" s="195"/>
    </row>
    <row r="171" spans="2:2">
      <c r="B171" s="195"/>
    </row>
    <row r="172" spans="2:2">
      <c r="B172" s="195"/>
    </row>
    <row r="173" spans="2:2">
      <c r="B173" s="195"/>
    </row>
    <row r="174" spans="2:2">
      <c r="B174" s="195"/>
    </row>
    <row r="175" spans="2:2">
      <c r="B175" s="195"/>
    </row>
    <row r="176" spans="2:2">
      <c r="B176" s="195"/>
    </row>
    <row r="177" spans="2:2">
      <c r="B177" s="195"/>
    </row>
    <row r="178" spans="2:2">
      <c r="B178" s="195"/>
    </row>
    <row r="179" spans="2:2">
      <c r="B179" s="195"/>
    </row>
    <row r="180" spans="2:2">
      <c r="B180" s="195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27"/>
  <sheetViews>
    <sheetView topLeftCell="U1" workbookViewId="0">
      <selection activeCell="K21" sqref="K21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6528.7300000000005</v>
      </c>
    </row>
    <row r="2" spans="1:5" ht="16" customHeight="1">
      <c r="A2" s="97" t="s">
        <v>854</v>
      </c>
      <c r="B2" s="109">
        <v>5665.88</v>
      </c>
      <c r="C2" s="97"/>
      <c r="D2" s="2" t="s">
        <v>788</v>
      </c>
      <c r="E2" s="99"/>
    </row>
    <row r="3" spans="1:5" ht="16" customHeight="1">
      <c r="A3" s="97" t="s">
        <v>789</v>
      </c>
      <c r="B3" s="200">
        <v>394.8</v>
      </c>
      <c r="C3" s="97"/>
      <c r="D3" s="2" t="s">
        <v>790</v>
      </c>
      <c r="E3" s="99">
        <f>E2-E1</f>
        <v>-6528.7300000000005</v>
      </c>
    </row>
    <row r="4" spans="1:5">
      <c r="A4" s="97" t="s">
        <v>777</v>
      </c>
      <c r="B4" s="195">
        <v>250</v>
      </c>
    </row>
    <row r="5" spans="1:5">
      <c r="A5" s="97" t="s">
        <v>754</v>
      </c>
      <c r="B5" s="195">
        <v>10</v>
      </c>
    </row>
    <row r="6" spans="1:5">
      <c r="A6" s="97" t="s">
        <v>760</v>
      </c>
      <c r="B6" s="195">
        <v>40</v>
      </c>
    </row>
    <row r="7" spans="1:5">
      <c r="A7" s="97" t="s">
        <v>833</v>
      </c>
      <c r="B7" s="195">
        <v>140</v>
      </c>
    </row>
    <row r="8" spans="1:5">
      <c r="A8" s="97" t="s">
        <v>655</v>
      </c>
      <c r="B8" s="195">
        <v>8</v>
      </c>
    </row>
    <row r="9" spans="1:5">
      <c r="A9" s="97" t="s">
        <v>754</v>
      </c>
      <c r="B9" s="195">
        <v>7.05</v>
      </c>
    </row>
    <row r="10" spans="1:5">
      <c r="A10" s="97" t="s">
        <v>798</v>
      </c>
      <c r="B10" s="195">
        <v>1.5</v>
      </c>
    </row>
    <row r="11" spans="1:5">
      <c r="A11" s="97" t="s">
        <v>798</v>
      </c>
      <c r="B11" s="195">
        <v>1.5</v>
      </c>
    </row>
    <row r="12" spans="1:5">
      <c r="A12" s="97" t="s">
        <v>801</v>
      </c>
      <c r="B12" s="195">
        <v>10</v>
      </c>
      <c r="C12" t="s">
        <v>588</v>
      </c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2"/>
  <sheetViews>
    <sheetView workbookViewId="0">
      <selection activeCell="F2" sqref="F2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5374.7300000000005</v>
      </c>
    </row>
    <row r="2" spans="1:5" ht="16" customHeight="1">
      <c r="A2" s="97" t="s">
        <v>854</v>
      </c>
      <c r="B2" s="109">
        <v>4950</v>
      </c>
      <c r="C2" s="97"/>
      <c r="D2" s="2" t="s">
        <v>788</v>
      </c>
      <c r="E2" s="99"/>
    </row>
    <row r="3" spans="1:5" ht="16" customHeight="1">
      <c r="A3" s="97" t="s">
        <v>789</v>
      </c>
      <c r="B3" s="200">
        <v>346.8</v>
      </c>
      <c r="C3" s="97"/>
      <c r="D3" s="2" t="s">
        <v>790</v>
      </c>
      <c r="E3" s="99">
        <f>E2-E1</f>
        <v>-5374.7300000000005</v>
      </c>
    </row>
    <row r="4" spans="1:5">
      <c r="A4" s="97" t="s">
        <v>754</v>
      </c>
      <c r="B4" s="195">
        <v>19.93</v>
      </c>
    </row>
    <row r="5" spans="1:5">
      <c r="A5" s="97" t="s">
        <v>655</v>
      </c>
      <c r="B5" s="195">
        <v>18</v>
      </c>
    </row>
    <row r="6" spans="1:5">
      <c r="A6" s="97" t="s">
        <v>465</v>
      </c>
      <c r="B6" s="195">
        <v>40</v>
      </c>
    </row>
    <row r="7" spans="1:5">
      <c r="B7" s="195"/>
    </row>
    <row r="8" spans="1:5">
      <c r="B8" s="195"/>
    </row>
    <row r="9" spans="1:5">
      <c r="B9" s="195"/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61"/>
  <sheetViews>
    <sheetView workbookViewId="0">
      <selection activeCell="A9" sqref="A9"/>
    </sheetView>
  </sheetViews>
  <sheetFormatPr baseColWidth="10" defaultColWidth="11.5" defaultRowHeight="15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8246.15</v>
      </c>
    </row>
    <row r="2" spans="1:5" ht="16" customHeight="1">
      <c r="A2" s="97" t="s">
        <v>854</v>
      </c>
      <c r="B2" s="109">
        <v>7023</v>
      </c>
      <c r="C2" s="97"/>
      <c r="D2" s="2" t="s">
        <v>788</v>
      </c>
      <c r="E2" s="99"/>
    </row>
    <row r="3" spans="1:5" ht="16" customHeight="1">
      <c r="A3" s="97" t="s">
        <v>789</v>
      </c>
      <c r="B3" s="200">
        <v>430.8</v>
      </c>
      <c r="C3" s="97"/>
      <c r="D3" s="2" t="s">
        <v>790</v>
      </c>
      <c r="E3" s="99">
        <f>E2-E1</f>
        <v>-8246.15</v>
      </c>
    </row>
    <row r="4" spans="1:5">
      <c r="A4" s="97" t="s">
        <v>777</v>
      </c>
      <c r="B4" s="195">
        <v>300</v>
      </c>
    </row>
    <row r="5" spans="1:5">
      <c r="A5" s="97" t="s">
        <v>757</v>
      </c>
      <c r="B5" s="195">
        <v>400</v>
      </c>
    </row>
    <row r="6" spans="1:5">
      <c r="A6" s="97" t="s">
        <v>863</v>
      </c>
      <c r="B6" s="195">
        <v>12</v>
      </c>
    </row>
    <row r="7" spans="1:5">
      <c r="A7" s="97" t="s">
        <v>754</v>
      </c>
      <c r="B7" s="195">
        <v>10.4</v>
      </c>
    </row>
    <row r="8" spans="1:5">
      <c r="A8" s="97" t="s">
        <v>42</v>
      </c>
      <c r="B8" s="195">
        <v>69.95</v>
      </c>
    </row>
    <row r="9" spans="1:5">
      <c r="B9" s="195"/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  <row r="34" spans="2:2">
      <c r="B34" s="195"/>
    </row>
    <row r="35" spans="2:2">
      <c r="B35" s="195"/>
    </row>
    <row r="36" spans="2:2">
      <c r="B36" s="195"/>
    </row>
    <row r="37" spans="2:2">
      <c r="B37" s="195"/>
    </row>
    <row r="38" spans="2:2">
      <c r="B38" s="195"/>
    </row>
    <row r="39" spans="2:2">
      <c r="B39" s="195"/>
    </row>
    <row r="40" spans="2:2">
      <c r="B40" s="195"/>
    </row>
    <row r="41" spans="2:2">
      <c r="B41" s="195"/>
    </row>
    <row r="42" spans="2:2">
      <c r="B42" s="195"/>
    </row>
    <row r="43" spans="2:2">
      <c r="B43" s="195"/>
    </row>
    <row r="44" spans="2:2">
      <c r="B44" s="195"/>
    </row>
    <row r="45" spans="2:2">
      <c r="B45" s="195"/>
    </row>
    <row r="46" spans="2:2">
      <c r="B46" s="195"/>
    </row>
    <row r="47" spans="2:2">
      <c r="B47" s="195"/>
    </row>
    <row r="48" spans="2:2">
      <c r="B48" s="195"/>
    </row>
    <row r="49" spans="2:2">
      <c r="B49" s="195"/>
    </row>
    <row r="50" spans="2:2">
      <c r="B50" s="195"/>
    </row>
    <row r="51" spans="2:2">
      <c r="B51" s="195"/>
    </row>
    <row r="52" spans="2:2">
      <c r="B52" s="195"/>
    </row>
    <row r="53" spans="2:2">
      <c r="B53" s="195"/>
    </row>
    <row r="54" spans="2:2">
      <c r="B54" s="195"/>
    </row>
    <row r="55" spans="2:2">
      <c r="B55" s="195"/>
    </row>
    <row r="56" spans="2:2">
      <c r="B56" s="195"/>
    </row>
    <row r="57" spans="2:2">
      <c r="B57" s="195"/>
    </row>
    <row r="58" spans="2:2">
      <c r="B58" s="195"/>
    </row>
    <row r="59" spans="2:2">
      <c r="B59" s="195"/>
    </row>
    <row r="60" spans="2:2">
      <c r="B60" s="195"/>
    </row>
    <row r="61" spans="2:2">
      <c r="B61" s="195"/>
    </row>
    <row r="62" spans="2:2">
      <c r="B62" s="195"/>
    </row>
    <row r="63" spans="2:2">
      <c r="B63" s="195"/>
    </row>
    <row r="64" spans="2:2">
      <c r="B64" s="195"/>
    </row>
    <row r="65" spans="2:2">
      <c r="B65" s="195"/>
    </row>
    <row r="66" spans="2:2">
      <c r="B66" s="195"/>
    </row>
    <row r="67" spans="2:2">
      <c r="B67" s="195"/>
    </row>
    <row r="68" spans="2:2">
      <c r="B68" s="195"/>
    </row>
    <row r="69" spans="2:2">
      <c r="B69" s="195"/>
    </row>
    <row r="70" spans="2:2">
      <c r="B70" s="195"/>
    </row>
    <row r="71" spans="2:2">
      <c r="B71" s="195"/>
    </row>
    <row r="72" spans="2:2">
      <c r="B72" s="195"/>
    </row>
    <row r="73" spans="2:2">
      <c r="B73" s="195"/>
    </row>
    <row r="74" spans="2:2">
      <c r="B74" s="195"/>
    </row>
    <row r="75" spans="2:2">
      <c r="B75" s="195"/>
    </row>
    <row r="76" spans="2:2">
      <c r="B76" s="195"/>
    </row>
    <row r="77" spans="2:2">
      <c r="B77" s="195"/>
    </row>
    <row r="78" spans="2:2">
      <c r="B78" s="195"/>
    </row>
    <row r="79" spans="2:2">
      <c r="B79" s="195"/>
    </row>
    <row r="80" spans="2:2">
      <c r="B80" s="195"/>
    </row>
    <row r="81" spans="2:2">
      <c r="B81" s="195"/>
    </row>
    <row r="82" spans="2:2">
      <c r="B82" s="195"/>
    </row>
    <row r="83" spans="2:2">
      <c r="B83" s="195"/>
    </row>
    <row r="84" spans="2:2">
      <c r="B84" s="195"/>
    </row>
    <row r="85" spans="2:2">
      <c r="B85" s="195"/>
    </row>
    <row r="86" spans="2:2">
      <c r="B86" s="195"/>
    </row>
    <row r="87" spans="2:2">
      <c r="B87" s="195"/>
    </row>
    <row r="88" spans="2:2">
      <c r="B88" s="195"/>
    </row>
    <row r="89" spans="2:2">
      <c r="B89" s="195"/>
    </row>
    <row r="90" spans="2:2">
      <c r="B90" s="195"/>
    </row>
    <row r="91" spans="2:2">
      <c r="B91" s="195"/>
    </row>
    <row r="92" spans="2:2">
      <c r="B92" s="195"/>
    </row>
    <row r="93" spans="2:2">
      <c r="B93" s="195"/>
    </row>
    <row r="94" spans="2:2">
      <c r="B94" s="195"/>
    </row>
    <row r="95" spans="2:2">
      <c r="B95" s="195"/>
    </row>
    <row r="96" spans="2:2">
      <c r="B96" s="195"/>
    </row>
    <row r="97" spans="2:2">
      <c r="B97" s="195"/>
    </row>
    <row r="98" spans="2:2">
      <c r="B98" s="195"/>
    </row>
    <row r="99" spans="2:2">
      <c r="B99" s="195"/>
    </row>
    <row r="100" spans="2:2">
      <c r="B100" s="195"/>
    </row>
    <row r="101" spans="2:2">
      <c r="B101" s="195"/>
    </row>
    <row r="102" spans="2:2">
      <c r="B102" s="195"/>
    </row>
    <row r="103" spans="2:2">
      <c r="B103" s="195"/>
    </row>
    <row r="104" spans="2:2">
      <c r="B104" s="195"/>
    </row>
    <row r="105" spans="2:2">
      <c r="B105" s="195"/>
    </row>
    <row r="106" spans="2:2">
      <c r="B106" s="195"/>
    </row>
    <row r="107" spans="2:2">
      <c r="B107" s="195"/>
    </row>
    <row r="108" spans="2:2">
      <c r="B108" s="195"/>
    </row>
    <row r="109" spans="2:2">
      <c r="B109" s="195"/>
    </row>
    <row r="110" spans="2:2">
      <c r="B110" s="195"/>
    </row>
    <row r="111" spans="2:2">
      <c r="B111" s="195"/>
    </row>
    <row r="112" spans="2:2">
      <c r="B112" s="195"/>
    </row>
    <row r="113" spans="2:2">
      <c r="B113" s="195"/>
    </row>
    <row r="114" spans="2:2">
      <c r="B114" s="195"/>
    </row>
    <row r="115" spans="2:2">
      <c r="B115" s="195"/>
    </row>
    <row r="116" spans="2:2">
      <c r="B116" s="195"/>
    </row>
    <row r="117" spans="2:2">
      <c r="B117" s="195"/>
    </row>
    <row r="118" spans="2:2">
      <c r="B118" s="195"/>
    </row>
    <row r="119" spans="2:2">
      <c r="B119" s="195"/>
    </row>
    <row r="120" spans="2:2">
      <c r="B120" s="195"/>
    </row>
    <row r="121" spans="2:2">
      <c r="B121" s="195"/>
    </row>
    <row r="122" spans="2:2">
      <c r="B122" s="195"/>
    </row>
    <row r="123" spans="2:2">
      <c r="B123" s="195"/>
    </row>
    <row r="124" spans="2:2">
      <c r="B124" s="195"/>
    </row>
    <row r="125" spans="2:2">
      <c r="B125" s="195"/>
    </row>
    <row r="126" spans="2:2">
      <c r="B126" s="195"/>
    </row>
    <row r="127" spans="2:2">
      <c r="B127" s="195"/>
    </row>
    <row r="128" spans="2:2">
      <c r="B128" s="195"/>
    </row>
    <row r="129" spans="2:2">
      <c r="B129" s="195"/>
    </row>
    <row r="130" spans="2:2">
      <c r="B130" s="195"/>
    </row>
    <row r="131" spans="2:2">
      <c r="B131" s="195"/>
    </row>
    <row r="132" spans="2:2">
      <c r="B132" s="195"/>
    </row>
    <row r="133" spans="2:2">
      <c r="B133" s="195"/>
    </row>
    <row r="134" spans="2:2">
      <c r="B134" s="195"/>
    </row>
    <row r="135" spans="2:2">
      <c r="B135" s="195"/>
    </row>
    <row r="136" spans="2:2">
      <c r="B136" s="195"/>
    </row>
    <row r="137" spans="2:2">
      <c r="B137" s="195"/>
    </row>
    <row r="138" spans="2:2">
      <c r="B138" s="195"/>
    </row>
    <row r="139" spans="2:2">
      <c r="B139" s="195"/>
    </row>
    <row r="140" spans="2:2">
      <c r="B140" s="195"/>
    </row>
    <row r="141" spans="2:2">
      <c r="B141" s="195"/>
    </row>
    <row r="142" spans="2:2">
      <c r="B142" s="195"/>
    </row>
    <row r="143" spans="2:2">
      <c r="B143" s="195"/>
    </row>
    <row r="144" spans="2:2">
      <c r="B144" s="195"/>
    </row>
    <row r="145" spans="2:2">
      <c r="B145" s="195"/>
    </row>
    <row r="146" spans="2:2">
      <c r="B146" s="195"/>
    </row>
    <row r="147" spans="2:2">
      <c r="B147" s="195"/>
    </row>
    <row r="148" spans="2:2">
      <c r="B148" s="195"/>
    </row>
    <row r="149" spans="2:2">
      <c r="B149" s="195"/>
    </row>
    <row r="150" spans="2:2">
      <c r="B150" s="195"/>
    </row>
    <row r="151" spans="2:2">
      <c r="B151" s="195"/>
    </row>
    <row r="152" spans="2:2">
      <c r="B152" s="195"/>
    </row>
    <row r="153" spans="2:2">
      <c r="B153" s="195"/>
    </row>
    <row r="154" spans="2:2">
      <c r="B154" s="195"/>
    </row>
    <row r="155" spans="2:2">
      <c r="B155" s="195"/>
    </row>
    <row r="156" spans="2:2">
      <c r="B156" s="195"/>
    </row>
    <row r="157" spans="2:2">
      <c r="B157" s="195"/>
    </row>
    <row r="158" spans="2:2">
      <c r="B158" s="195"/>
    </row>
    <row r="159" spans="2:2">
      <c r="B159" s="195"/>
    </row>
    <row r="160" spans="2:2">
      <c r="B160" s="195"/>
    </row>
    <row r="161" spans="2:2">
      <c r="B161" s="195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42"/>
  <sheetViews>
    <sheetView workbookViewId="0">
      <selection activeCell="E3" sqref="E3"/>
    </sheetView>
  </sheetViews>
  <sheetFormatPr baseColWidth="10" defaultColWidth="11.5" defaultRowHeight="15"/>
  <cols>
    <col min="1" max="1" width="12.16406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6541.12</v>
      </c>
    </row>
    <row r="2" spans="1:5" ht="16" customHeight="1">
      <c r="A2" s="97" t="s">
        <v>854</v>
      </c>
      <c r="B2" s="109">
        <v>5650</v>
      </c>
      <c r="C2" s="97"/>
      <c r="D2" s="2" t="s">
        <v>788</v>
      </c>
      <c r="E2" s="99">
        <v>8495</v>
      </c>
    </row>
    <row r="3" spans="1:5" ht="16" customHeight="1">
      <c r="A3" s="97" t="s">
        <v>864</v>
      </c>
      <c r="B3" s="200">
        <v>80</v>
      </c>
      <c r="C3" s="97"/>
      <c r="D3" s="2" t="s">
        <v>790</v>
      </c>
      <c r="E3" s="99">
        <f>E2-E1</f>
        <v>1953.88</v>
      </c>
    </row>
    <row r="4" spans="1:5">
      <c r="A4" s="97" t="s">
        <v>833</v>
      </c>
      <c r="B4" s="195">
        <v>65</v>
      </c>
    </row>
    <row r="5" spans="1:5">
      <c r="A5" s="97" t="s">
        <v>865</v>
      </c>
      <c r="B5" s="195">
        <v>9.8800000000000008</v>
      </c>
    </row>
    <row r="6" spans="1:5">
      <c r="A6" s="97" t="s">
        <v>757</v>
      </c>
      <c r="B6" s="195">
        <v>300</v>
      </c>
    </row>
    <row r="7" spans="1:5">
      <c r="A7" s="97" t="s">
        <v>866</v>
      </c>
      <c r="B7" s="195">
        <v>7.99</v>
      </c>
    </row>
    <row r="8" spans="1:5">
      <c r="A8" s="97" t="s">
        <v>867</v>
      </c>
      <c r="B8" s="195">
        <v>10.99</v>
      </c>
    </row>
    <row r="9" spans="1:5">
      <c r="A9" s="97" t="s">
        <v>859</v>
      </c>
      <c r="B9" s="195">
        <v>8.73</v>
      </c>
    </row>
    <row r="10" spans="1:5">
      <c r="A10" s="97" t="s">
        <v>777</v>
      </c>
      <c r="B10" s="195">
        <v>300</v>
      </c>
    </row>
    <row r="11" spans="1:5">
      <c r="A11" s="97" t="s">
        <v>868</v>
      </c>
      <c r="B11" s="195">
        <v>15.81</v>
      </c>
    </row>
    <row r="12" spans="1:5">
      <c r="A12" s="97" t="s">
        <v>655</v>
      </c>
      <c r="B12" s="195">
        <v>15</v>
      </c>
    </row>
    <row r="13" spans="1:5">
      <c r="A13" s="97" t="s">
        <v>42</v>
      </c>
      <c r="B13" s="195">
        <v>77.72</v>
      </c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  <row r="31" spans="2:2">
      <c r="B31" s="195"/>
    </row>
    <row r="32" spans="2:2">
      <c r="B32" s="195"/>
    </row>
    <row r="33" spans="2:2">
      <c r="B33" s="195"/>
    </row>
    <row r="34" spans="2:2">
      <c r="B34" s="195"/>
    </row>
    <row r="35" spans="2:2">
      <c r="B35" s="195"/>
    </row>
    <row r="36" spans="2:2">
      <c r="B36" s="195"/>
    </row>
    <row r="37" spans="2:2">
      <c r="B37" s="195"/>
    </row>
    <row r="38" spans="2:2">
      <c r="B38" s="195"/>
    </row>
    <row r="39" spans="2:2">
      <c r="B39" s="195"/>
    </row>
    <row r="40" spans="2:2">
      <c r="B40" s="195"/>
    </row>
    <row r="41" spans="2:2">
      <c r="B41" s="195"/>
    </row>
    <row r="42" spans="2:2">
      <c r="B42" s="195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4"/>
  <sheetViews>
    <sheetView zoomScale="112" workbookViewId="0">
      <selection activeCell="B15" sqref="B15"/>
    </sheetView>
  </sheetViews>
  <sheetFormatPr baseColWidth="10" defaultColWidth="11.5" defaultRowHeight="15"/>
  <cols>
    <col min="1" max="1" width="15.5" customWidth="1"/>
    <col min="2" max="2" width="10.83203125" style="195" customWidth="1"/>
    <col min="3" max="3" width="33.332031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6497.88</v>
      </c>
    </row>
    <row r="2" spans="1:5" ht="16" customHeight="1">
      <c r="A2" s="97" t="s">
        <v>854</v>
      </c>
      <c r="B2" s="109">
        <v>5200</v>
      </c>
      <c r="C2" s="97"/>
      <c r="D2" s="2" t="s">
        <v>788</v>
      </c>
      <c r="E2" s="99">
        <v>8650</v>
      </c>
    </row>
    <row r="3" spans="1:5" ht="16" customHeight="1">
      <c r="A3" s="97" t="s">
        <v>789</v>
      </c>
      <c r="B3" s="109">
        <v>346.8</v>
      </c>
      <c r="C3" s="97"/>
      <c r="D3" s="2" t="s">
        <v>790</v>
      </c>
      <c r="E3" s="99">
        <f>E2-E1</f>
        <v>2152.12</v>
      </c>
    </row>
    <row r="4" spans="1:5">
      <c r="A4" s="97" t="s">
        <v>869</v>
      </c>
      <c r="B4" s="61">
        <v>6</v>
      </c>
    </row>
    <row r="5" spans="1:5">
      <c r="A5" s="97" t="s">
        <v>870</v>
      </c>
      <c r="B5" s="195">
        <v>50</v>
      </c>
    </row>
    <row r="6" spans="1:5">
      <c r="A6" s="97" t="s">
        <v>754</v>
      </c>
      <c r="B6" s="195">
        <v>16.38</v>
      </c>
    </row>
    <row r="7" spans="1:5">
      <c r="A7" s="97" t="s">
        <v>871</v>
      </c>
      <c r="B7" s="195">
        <v>70</v>
      </c>
    </row>
    <row r="8" spans="1:5">
      <c r="A8" s="97" t="s">
        <v>872</v>
      </c>
      <c r="B8" s="195">
        <v>25.99</v>
      </c>
    </row>
    <row r="9" spans="1:5">
      <c r="A9" s="97" t="s">
        <v>873</v>
      </c>
      <c r="B9" s="195">
        <v>150</v>
      </c>
    </row>
    <row r="10" spans="1:5">
      <c r="A10" s="97" t="s">
        <v>874</v>
      </c>
      <c r="B10" s="195">
        <v>19.989999999999998</v>
      </c>
    </row>
    <row r="11" spans="1:5">
      <c r="A11" s="97" t="s">
        <v>875</v>
      </c>
      <c r="B11" s="195">
        <v>125</v>
      </c>
    </row>
    <row r="12" spans="1:5">
      <c r="A12" s="97" t="s">
        <v>791</v>
      </c>
      <c r="B12" s="195">
        <v>10</v>
      </c>
    </row>
    <row r="13" spans="1:5" ht="16" customHeight="1">
      <c r="A13" s="273" t="s">
        <v>841</v>
      </c>
      <c r="B13" s="195">
        <v>400</v>
      </c>
    </row>
    <row r="14" spans="1:5">
      <c r="A14" s="97" t="s">
        <v>42</v>
      </c>
      <c r="B14" s="195">
        <v>77.72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1"/>
  <sheetViews>
    <sheetView workbookViewId="0">
      <selection activeCell="B12" sqref="B12"/>
    </sheetView>
  </sheetViews>
  <sheetFormatPr baseColWidth="10" defaultColWidth="8.83203125" defaultRowHeight="15"/>
  <cols>
    <col min="1" max="1" width="8.33203125" bestFit="1" customWidth="1"/>
    <col min="2" max="2" width="10.33203125" style="61" bestFit="1" customWidth="1"/>
    <col min="4" max="6" width="11.832031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4014.6099999999997</v>
      </c>
    </row>
    <row r="2" spans="1:5" ht="16" customHeight="1">
      <c r="A2" s="97" t="s">
        <v>854</v>
      </c>
      <c r="B2" s="109">
        <v>900</v>
      </c>
      <c r="C2" s="97"/>
      <c r="D2" s="2" t="s">
        <v>788</v>
      </c>
      <c r="E2" s="99">
        <v>6800</v>
      </c>
    </row>
    <row r="3" spans="1:5" ht="16" customHeight="1">
      <c r="A3" s="97" t="s">
        <v>789</v>
      </c>
      <c r="B3" s="109">
        <v>322.8</v>
      </c>
      <c r="C3" s="97"/>
      <c r="D3" s="2" t="s">
        <v>790</v>
      </c>
      <c r="E3" s="99">
        <f>E2-E1</f>
        <v>2785.3900000000003</v>
      </c>
    </row>
    <row r="4" spans="1:5">
      <c r="A4" s="97" t="s">
        <v>876</v>
      </c>
      <c r="B4" s="61">
        <v>120</v>
      </c>
    </row>
    <row r="5" spans="1:5">
      <c r="A5" s="97" t="s">
        <v>799</v>
      </c>
      <c r="B5" s="61">
        <v>8</v>
      </c>
    </row>
    <row r="6" spans="1:5">
      <c r="A6" s="97" t="s">
        <v>754</v>
      </c>
      <c r="B6" s="61">
        <v>5.75</v>
      </c>
    </row>
    <row r="7" spans="1:5">
      <c r="A7" t="s">
        <v>877</v>
      </c>
      <c r="B7" s="61">
        <v>2500</v>
      </c>
    </row>
    <row r="8" spans="1:5">
      <c r="A8" s="97" t="s">
        <v>42</v>
      </c>
      <c r="B8" s="61">
        <v>77.72</v>
      </c>
    </row>
    <row r="9" spans="1:5">
      <c r="A9" s="97" t="s">
        <v>791</v>
      </c>
      <c r="B9" s="61">
        <v>8.36</v>
      </c>
    </row>
    <row r="10" spans="1:5">
      <c r="A10" s="97" t="s">
        <v>878</v>
      </c>
      <c r="B10" s="61">
        <v>26.99</v>
      </c>
    </row>
    <row r="11" spans="1:5">
      <c r="A11" s="97" t="s">
        <v>879</v>
      </c>
      <c r="B11" s="61">
        <v>44.99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1"/>
  <sheetViews>
    <sheetView workbookViewId="0">
      <selection activeCell="A12" sqref="A12"/>
    </sheetView>
  </sheetViews>
  <sheetFormatPr baseColWidth="10" defaultColWidth="8.83203125" defaultRowHeight="15"/>
  <cols>
    <col min="1" max="1" width="12.6640625" customWidth="1"/>
    <col min="2" max="2" width="10.33203125" style="61" bestFit="1" customWidth="1"/>
    <col min="4" max="6" width="11.832031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6493.7</v>
      </c>
    </row>
    <row r="2" spans="1:5" ht="16" customHeight="1">
      <c r="A2" s="97" t="s">
        <v>854</v>
      </c>
      <c r="B2" s="109">
        <v>5500</v>
      </c>
      <c r="C2" s="97"/>
      <c r="D2" s="2" t="s">
        <v>788</v>
      </c>
      <c r="E2" s="99">
        <v>8465</v>
      </c>
    </row>
    <row r="3" spans="1:5" ht="16" customHeight="1">
      <c r="A3" s="97" t="s">
        <v>789</v>
      </c>
      <c r="B3" s="109">
        <v>346.8</v>
      </c>
      <c r="C3" s="97"/>
      <c r="D3" s="2" t="s">
        <v>790</v>
      </c>
      <c r="E3" s="99">
        <f>E2-E1</f>
        <v>1971.3000000000002</v>
      </c>
    </row>
    <row r="4" spans="1:5">
      <c r="A4" s="97" t="s">
        <v>880</v>
      </c>
      <c r="B4" s="61">
        <v>50</v>
      </c>
    </row>
    <row r="5" spans="1:5">
      <c r="A5" s="97" t="s">
        <v>760</v>
      </c>
      <c r="B5" s="61">
        <v>40</v>
      </c>
    </row>
    <row r="6" spans="1:5">
      <c r="A6" s="97" t="s">
        <v>754</v>
      </c>
      <c r="B6" s="61">
        <v>9.2899999999999991</v>
      </c>
    </row>
    <row r="7" spans="1:5">
      <c r="A7" s="97" t="s">
        <v>655</v>
      </c>
      <c r="B7" s="61">
        <v>15</v>
      </c>
    </row>
    <row r="8" spans="1:5">
      <c r="A8" s="97" t="s">
        <v>754</v>
      </c>
      <c r="B8" s="61">
        <v>9.2200000000000006</v>
      </c>
    </row>
    <row r="9" spans="1:5">
      <c r="A9" s="97" t="s">
        <v>881</v>
      </c>
      <c r="B9" s="61">
        <v>3.44</v>
      </c>
    </row>
    <row r="10" spans="1:5">
      <c r="A10" s="97" t="s">
        <v>807</v>
      </c>
      <c r="B10" s="61">
        <v>69.95</v>
      </c>
    </row>
    <row r="11" spans="1:5">
      <c r="A11" s="97" t="s">
        <v>800</v>
      </c>
      <c r="B11" s="61">
        <v>450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8"/>
  <sheetViews>
    <sheetView workbookViewId="0">
      <selection activeCell="F2" sqref="F2"/>
    </sheetView>
  </sheetViews>
  <sheetFormatPr baseColWidth="10" defaultColWidth="8.83203125" defaultRowHeight="15"/>
  <cols>
    <col min="2" max="2" width="10.33203125" style="61" bestFit="1" customWidth="1"/>
    <col min="4" max="4" width="11.83203125" customWidth="1"/>
    <col min="5" max="5" width="14.83203125" customWidth="1"/>
  </cols>
  <sheetData>
    <row r="1" spans="1:8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7573.46</v>
      </c>
    </row>
    <row r="2" spans="1:8" ht="16" customHeight="1">
      <c r="A2" s="97" t="s">
        <v>854</v>
      </c>
      <c r="B2" s="109">
        <v>5000</v>
      </c>
      <c r="C2" s="97"/>
      <c r="D2" s="2" t="s">
        <v>788</v>
      </c>
      <c r="E2" s="99"/>
    </row>
    <row r="3" spans="1:8" ht="16" customHeight="1">
      <c r="A3" s="97" t="s">
        <v>789</v>
      </c>
      <c r="B3" s="109">
        <v>382.5</v>
      </c>
      <c r="C3" s="97"/>
      <c r="D3" s="2" t="s">
        <v>790</v>
      </c>
      <c r="E3" s="99">
        <f>E2-E1</f>
        <v>-7573.46</v>
      </c>
    </row>
    <row r="4" spans="1:8">
      <c r="A4" s="97" t="s">
        <v>797</v>
      </c>
      <c r="B4" s="61">
        <v>51.48</v>
      </c>
    </row>
    <row r="5" spans="1:8">
      <c r="A5" s="97" t="s">
        <v>450</v>
      </c>
      <c r="B5" s="61">
        <v>38.11</v>
      </c>
    </row>
    <row r="6" spans="1:8">
      <c r="A6" s="97" t="s">
        <v>451</v>
      </c>
      <c r="B6" s="61">
        <f>19.22/2</f>
        <v>9.61</v>
      </c>
    </row>
    <row r="7" spans="1:8">
      <c r="A7" s="97" t="s">
        <v>882</v>
      </c>
      <c r="B7" s="61">
        <v>180</v>
      </c>
    </row>
    <row r="8" spans="1:8">
      <c r="A8" s="97" t="s">
        <v>760</v>
      </c>
      <c r="B8" s="61">
        <v>40</v>
      </c>
    </row>
    <row r="9" spans="1:8">
      <c r="A9" s="97" t="s">
        <v>883</v>
      </c>
      <c r="B9" s="61">
        <v>720</v>
      </c>
    </row>
    <row r="10" spans="1:8">
      <c r="A10" s="97" t="s">
        <v>791</v>
      </c>
      <c r="B10" s="61">
        <v>13.52</v>
      </c>
    </row>
    <row r="11" spans="1:8">
      <c r="A11" s="97" t="s">
        <v>655</v>
      </c>
      <c r="B11" s="61">
        <v>12</v>
      </c>
    </row>
    <row r="12" spans="1:8">
      <c r="A12" s="97" t="s">
        <v>754</v>
      </c>
      <c r="B12" s="61">
        <v>15.39</v>
      </c>
    </row>
    <row r="13" spans="1:8">
      <c r="A13" t="s">
        <v>810</v>
      </c>
      <c r="B13" s="61">
        <v>700</v>
      </c>
    </row>
    <row r="14" spans="1:8">
      <c r="A14" s="97" t="s">
        <v>884</v>
      </c>
      <c r="B14" s="61">
        <v>318</v>
      </c>
      <c r="H14" t="s">
        <v>885</v>
      </c>
    </row>
    <row r="15" spans="1:8">
      <c r="A15" s="97" t="s">
        <v>835</v>
      </c>
      <c r="B15" s="61">
        <v>92.85</v>
      </c>
      <c r="G15" t="s">
        <v>754</v>
      </c>
      <c r="H15">
        <v>8.89</v>
      </c>
    </row>
    <row r="16" spans="1:8">
      <c r="G16" t="s">
        <v>754</v>
      </c>
      <c r="H16">
        <v>45.19</v>
      </c>
    </row>
    <row r="17" spans="7:8">
      <c r="G17" t="s">
        <v>754</v>
      </c>
      <c r="H17">
        <v>70.040000000000006</v>
      </c>
    </row>
    <row r="18" spans="7:8">
      <c r="G18" t="s">
        <v>886</v>
      </c>
      <c r="H18" s="276">
        <f>SUM(H15:H17)</f>
        <v>124.12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9"/>
  <sheetViews>
    <sheetView workbookViewId="0">
      <selection activeCell="C9" sqref="C9"/>
    </sheetView>
  </sheetViews>
  <sheetFormatPr baseColWidth="10" defaultColWidth="8.83203125" defaultRowHeight="15"/>
  <cols>
    <col min="1" max="1" width="9" bestFit="1" customWidth="1"/>
    <col min="2" max="2" width="10.33203125" style="61" bestFit="1" customWidth="1"/>
    <col min="4" max="4" width="13.83203125" customWidth="1"/>
    <col min="5" max="5" width="9.332031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3730.74</v>
      </c>
    </row>
    <row r="2" spans="1:5" ht="16" customHeight="1">
      <c r="A2" s="97" t="s">
        <v>854</v>
      </c>
      <c r="B2" s="109">
        <v>3535</v>
      </c>
      <c r="C2" s="97"/>
      <c r="D2" s="2" t="s">
        <v>788</v>
      </c>
      <c r="E2" s="99">
        <v>5400</v>
      </c>
    </row>
    <row r="3" spans="1:5" ht="16" customHeight="1">
      <c r="A3" s="97" t="s">
        <v>464</v>
      </c>
      <c r="B3" s="109">
        <v>13.66</v>
      </c>
      <c r="C3" s="97"/>
      <c r="D3" s="2" t="s">
        <v>790</v>
      </c>
      <c r="E3" s="99">
        <f>E2-E1</f>
        <v>1669.2600000000002</v>
      </c>
    </row>
    <row r="4" spans="1:5">
      <c r="A4" s="97" t="s">
        <v>450</v>
      </c>
      <c r="B4" s="61">
        <v>38.11</v>
      </c>
    </row>
    <row r="5" spans="1:5">
      <c r="A5" s="97" t="s">
        <v>451</v>
      </c>
      <c r="B5" s="61">
        <f>19.22/2</f>
        <v>9.61</v>
      </c>
    </row>
    <row r="6" spans="1:5">
      <c r="A6" s="97" t="s">
        <v>464</v>
      </c>
      <c r="B6" s="61">
        <v>16.41</v>
      </c>
    </row>
    <row r="7" spans="1:5">
      <c r="A7" s="97" t="s">
        <v>655</v>
      </c>
      <c r="B7" s="61">
        <v>8</v>
      </c>
    </row>
    <row r="8" spans="1:5">
      <c r="A8" s="97" t="s">
        <v>887</v>
      </c>
      <c r="B8" s="61">
        <v>40</v>
      </c>
    </row>
    <row r="9" spans="1:5">
      <c r="A9" s="97" t="s">
        <v>42</v>
      </c>
      <c r="B9" s="61">
        <v>69.95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21"/>
  <sheetViews>
    <sheetView workbookViewId="0">
      <selection activeCell="E9" sqref="E9"/>
    </sheetView>
  </sheetViews>
  <sheetFormatPr baseColWidth="10" defaultColWidth="8.83203125" defaultRowHeight="15"/>
  <cols>
    <col min="1" max="1" width="9" bestFit="1" customWidth="1"/>
    <col min="2" max="2" width="10.33203125" bestFit="1" customWidth="1"/>
    <col min="4" max="4" width="11.33203125" customWidth="1"/>
    <col min="5" max="5" width="14.16406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4528.8</v>
      </c>
    </row>
    <row r="2" spans="1:5" ht="16" customHeight="1">
      <c r="A2" s="97" t="s">
        <v>854</v>
      </c>
      <c r="B2" s="109">
        <v>4000</v>
      </c>
      <c r="C2" s="97"/>
      <c r="D2" s="2" t="s">
        <v>788</v>
      </c>
      <c r="E2" s="99">
        <v>6595</v>
      </c>
    </row>
    <row r="3" spans="1:5" ht="16" customHeight="1">
      <c r="A3" s="97" t="s">
        <v>789</v>
      </c>
      <c r="B3" s="109">
        <v>358.8</v>
      </c>
      <c r="C3" s="97"/>
      <c r="D3" s="2" t="s">
        <v>790</v>
      </c>
      <c r="E3" s="99">
        <f>E2-E1</f>
        <v>2066.1999999999998</v>
      </c>
    </row>
    <row r="4" spans="1:5" ht="32" customHeight="1">
      <c r="A4" s="97" t="s">
        <v>754</v>
      </c>
      <c r="B4" s="61">
        <v>24.43</v>
      </c>
      <c r="D4" s="2" t="s">
        <v>33</v>
      </c>
      <c r="E4" s="162">
        <f>E3/2</f>
        <v>1033.0999999999999</v>
      </c>
    </row>
    <row r="5" spans="1:5">
      <c r="A5" s="97" t="s">
        <v>464</v>
      </c>
      <c r="B5" s="61">
        <v>14.32</v>
      </c>
    </row>
    <row r="6" spans="1:5">
      <c r="A6" s="97" t="s">
        <v>450</v>
      </c>
      <c r="B6" s="61">
        <f>26.6/2</f>
        <v>13.3</v>
      </c>
    </row>
    <row r="7" spans="1:5">
      <c r="A7" s="97" t="s">
        <v>640</v>
      </c>
      <c r="B7" s="61">
        <v>40</v>
      </c>
    </row>
    <row r="8" spans="1:5">
      <c r="A8" s="97" t="s">
        <v>655</v>
      </c>
      <c r="B8" s="61">
        <v>8</v>
      </c>
    </row>
    <row r="9" spans="1:5">
      <c r="A9" s="97" t="s">
        <v>42</v>
      </c>
      <c r="B9" s="164">
        <v>69.95</v>
      </c>
    </row>
    <row r="10" spans="1:5">
      <c r="B10" s="61"/>
    </row>
    <row r="11" spans="1:5">
      <c r="B11" s="61"/>
    </row>
    <row r="12" spans="1:5">
      <c r="B12" s="61"/>
    </row>
    <row r="13" spans="1:5">
      <c r="B13" s="61"/>
    </row>
    <row r="14" spans="1:5">
      <c r="B14" s="61"/>
    </row>
    <row r="15" spans="1:5">
      <c r="B15" s="61"/>
    </row>
    <row r="16" spans="1:5">
      <c r="B16" s="61"/>
    </row>
    <row r="17" spans="2:2">
      <c r="B17" s="61"/>
    </row>
    <row r="18" spans="2:2">
      <c r="B18" s="61"/>
    </row>
    <row r="19" spans="2:2">
      <c r="B19" s="61"/>
    </row>
    <row r="20" spans="2:2">
      <c r="B20" s="61"/>
    </row>
    <row r="21" spans="2:2">
      <c r="B21" s="61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0"/>
  <sheetViews>
    <sheetView topLeftCell="A7" workbookViewId="0">
      <selection activeCell="T27" sqref="T27"/>
    </sheetView>
  </sheetViews>
  <sheetFormatPr baseColWidth="10" defaultColWidth="8.83203125" defaultRowHeight="15"/>
  <cols>
    <col min="2" max="2" width="12.1640625" customWidth="1"/>
    <col min="5" max="5" width="12.16406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2850.7099999999996</v>
      </c>
    </row>
    <row r="2" spans="1:5" ht="16" customHeight="1">
      <c r="A2" s="97" t="s">
        <v>854</v>
      </c>
      <c r="B2" s="109">
        <v>1200</v>
      </c>
      <c r="C2" s="97"/>
      <c r="D2" s="2" t="s">
        <v>788</v>
      </c>
      <c r="E2" s="99">
        <v>5375</v>
      </c>
    </row>
    <row r="3" spans="1:5" ht="32" customHeight="1">
      <c r="A3" s="97" t="s">
        <v>789</v>
      </c>
      <c r="B3" s="109">
        <f>269*1.2</f>
        <v>322.8</v>
      </c>
      <c r="C3" s="97"/>
      <c r="D3" s="2" t="s">
        <v>790</v>
      </c>
      <c r="E3" s="99">
        <f>E2-E1</f>
        <v>2524.2900000000004</v>
      </c>
    </row>
    <row r="4" spans="1:5">
      <c r="A4" s="97" t="s">
        <v>464</v>
      </c>
      <c r="B4" s="61">
        <v>30.51</v>
      </c>
    </row>
    <row r="5" spans="1:5">
      <c r="A5" s="97" t="s">
        <v>754</v>
      </c>
      <c r="B5" s="61">
        <v>24.77</v>
      </c>
    </row>
    <row r="6" spans="1:5">
      <c r="A6" s="97" t="s">
        <v>451</v>
      </c>
      <c r="B6" s="61">
        <v>15.98</v>
      </c>
    </row>
    <row r="7" spans="1:5">
      <c r="A7" s="97" t="s">
        <v>450</v>
      </c>
      <c r="B7" s="61">
        <f>26.6/2</f>
        <v>13.3</v>
      </c>
    </row>
    <row r="8" spans="1:5">
      <c r="A8" s="97" t="s">
        <v>640</v>
      </c>
      <c r="B8" s="61">
        <v>40</v>
      </c>
    </row>
    <row r="9" spans="1:5">
      <c r="A9" s="97" t="s">
        <v>464</v>
      </c>
      <c r="B9" s="61">
        <v>13.68</v>
      </c>
    </row>
    <row r="10" spans="1:5">
      <c r="A10" s="97" t="s">
        <v>814</v>
      </c>
      <c r="B10" s="61">
        <v>20.95</v>
      </c>
    </row>
    <row r="11" spans="1:5">
      <c r="A11" s="97" t="s">
        <v>777</v>
      </c>
      <c r="B11" s="61">
        <v>940</v>
      </c>
    </row>
    <row r="12" spans="1:5">
      <c r="A12" s="97" t="s">
        <v>888</v>
      </c>
      <c r="B12" s="61">
        <v>5.88</v>
      </c>
    </row>
    <row r="13" spans="1:5">
      <c r="A13" s="97" t="s">
        <v>889</v>
      </c>
      <c r="B13" s="61">
        <v>13.99</v>
      </c>
    </row>
    <row r="14" spans="1:5">
      <c r="A14" s="97" t="s">
        <v>890</v>
      </c>
      <c r="B14" s="61">
        <v>3.61</v>
      </c>
    </row>
    <row r="15" spans="1:5">
      <c r="A15" s="97" t="s">
        <v>891</v>
      </c>
      <c r="B15" s="61">
        <v>3.09</v>
      </c>
    </row>
    <row r="16" spans="1:5">
      <c r="A16" s="97" t="s">
        <v>754</v>
      </c>
      <c r="B16" s="61">
        <v>5.31</v>
      </c>
    </row>
    <row r="17" spans="1:2">
      <c r="A17" s="97" t="s">
        <v>892</v>
      </c>
      <c r="B17" s="61">
        <v>120</v>
      </c>
    </row>
    <row r="18" spans="1:2">
      <c r="A18" s="97" t="s">
        <v>754</v>
      </c>
      <c r="B18" s="61">
        <v>6.89</v>
      </c>
    </row>
    <row r="19" spans="1:2">
      <c r="A19" s="97" t="s">
        <v>42</v>
      </c>
      <c r="B19" s="61">
        <v>69.95</v>
      </c>
    </row>
    <row r="20" spans="1:2">
      <c r="B20" s="61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2"/>
  <sheetViews>
    <sheetView workbookViewId="0">
      <selection activeCell="A11" sqref="A11"/>
    </sheetView>
  </sheetViews>
  <sheetFormatPr baseColWidth="10" defaultColWidth="8.83203125" defaultRowHeight="15"/>
  <cols>
    <col min="1" max="2" width="10.33203125" bestFit="1" customWidth="1"/>
    <col min="5" max="5" width="9.33203125" bestFit="1" customWidth="1"/>
    <col min="7" max="7" width="13.83203125" bestFit="1" customWidth="1"/>
  </cols>
  <sheetData>
    <row r="1" spans="1:8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6270.6800000000012</v>
      </c>
      <c r="G1" t="s">
        <v>893</v>
      </c>
      <c r="H1" s="195">
        <v>599</v>
      </c>
    </row>
    <row r="2" spans="1:8" ht="16" customHeight="1">
      <c r="A2" s="97" t="s">
        <v>854</v>
      </c>
      <c r="B2" s="109">
        <v>5000</v>
      </c>
      <c r="C2" s="97"/>
      <c r="D2" s="2" t="s">
        <v>788</v>
      </c>
      <c r="E2" s="99">
        <v>8400</v>
      </c>
      <c r="G2" t="s">
        <v>754</v>
      </c>
      <c r="H2" s="195">
        <v>77.209999999999994</v>
      </c>
    </row>
    <row r="3" spans="1:8" ht="32" customHeight="1">
      <c r="A3" s="97" t="s">
        <v>789</v>
      </c>
      <c r="B3" s="109">
        <f>370.8+12</f>
        <v>382.8</v>
      </c>
      <c r="C3" s="97"/>
      <c r="D3" s="2" t="s">
        <v>790</v>
      </c>
      <c r="E3" s="99">
        <f>E2-E1</f>
        <v>2129.3199999999988</v>
      </c>
      <c r="G3" t="s">
        <v>754</v>
      </c>
      <c r="H3" s="195">
        <v>10.75</v>
      </c>
    </row>
    <row r="4" spans="1:8">
      <c r="A4" s="97" t="s">
        <v>461</v>
      </c>
      <c r="B4" s="61">
        <v>50</v>
      </c>
      <c r="G4" t="s">
        <v>792</v>
      </c>
      <c r="H4" s="195">
        <v>11.4</v>
      </c>
    </row>
    <row r="5" spans="1:8">
      <c r="A5" s="97" t="s">
        <v>777</v>
      </c>
      <c r="B5" s="61">
        <v>120</v>
      </c>
      <c r="H5" s="195"/>
    </row>
    <row r="6" spans="1:8">
      <c r="A6" s="97" t="s">
        <v>894</v>
      </c>
      <c r="B6" s="61">
        <v>36.22</v>
      </c>
      <c r="G6" t="s">
        <v>895</v>
      </c>
      <c r="H6" s="195">
        <f>H1-SUM(H2:H4)</f>
        <v>499.64</v>
      </c>
    </row>
    <row r="7" spans="1:8">
      <c r="A7" s="97" t="s">
        <v>655</v>
      </c>
      <c r="B7" s="61">
        <v>10</v>
      </c>
    </row>
    <row r="8" spans="1:8">
      <c r="A8" s="97" t="s">
        <v>754</v>
      </c>
      <c r="B8" s="61">
        <v>10.31</v>
      </c>
    </row>
    <row r="9" spans="1:8">
      <c r="A9" s="97" t="s">
        <v>42</v>
      </c>
      <c r="B9" s="61">
        <v>86.35</v>
      </c>
    </row>
    <row r="10" spans="1:8">
      <c r="A10" s="97" t="s">
        <v>896</v>
      </c>
      <c r="B10" s="61">
        <v>575</v>
      </c>
    </row>
    <row r="11" spans="1:8">
      <c r="B11" s="61"/>
    </row>
    <row r="12" spans="1:8">
      <c r="B12" s="61"/>
    </row>
    <row r="13" spans="1:8">
      <c r="B13" s="61"/>
    </row>
    <row r="14" spans="1:8">
      <c r="B14" s="61"/>
    </row>
    <row r="15" spans="1:8">
      <c r="B15" s="61"/>
    </row>
    <row r="16" spans="1:8">
      <c r="B16" s="61"/>
    </row>
    <row r="17" spans="2:2">
      <c r="B17" s="61"/>
    </row>
    <row r="18" spans="2:2">
      <c r="B18" s="61"/>
    </row>
    <row r="19" spans="2:2">
      <c r="B19" s="61"/>
    </row>
    <row r="20" spans="2:2">
      <c r="B20" s="61"/>
    </row>
    <row r="21" spans="2:2">
      <c r="B21" s="61"/>
    </row>
    <row r="22" spans="2:2">
      <c r="B22" s="61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20"/>
  <sheetViews>
    <sheetView workbookViewId="0">
      <selection activeCell="C13" sqref="C13"/>
    </sheetView>
  </sheetViews>
  <sheetFormatPr baseColWidth="10" defaultColWidth="8.83203125" defaultRowHeight="15"/>
  <cols>
    <col min="1" max="1" width="15.5" bestFit="1" customWidth="1"/>
    <col min="2" max="2" width="10.33203125" bestFit="1" customWidth="1"/>
    <col min="5" max="5" width="13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6647.9000000000005</v>
      </c>
    </row>
    <row r="2" spans="1:5" ht="16" customHeight="1">
      <c r="A2" s="97" t="s">
        <v>854</v>
      </c>
      <c r="B2" s="109">
        <v>5750</v>
      </c>
      <c r="C2" s="97"/>
      <c r="D2" s="2" t="s">
        <v>788</v>
      </c>
      <c r="E2" s="99">
        <v>9050</v>
      </c>
    </row>
    <row r="3" spans="1:5" ht="32" customHeight="1">
      <c r="A3" s="97" t="s">
        <v>789</v>
      </c>
      <c r="B3" s="109">
        <v>370.8</v>
      </c>
      <c r="C3" s="97"/>
      <c r="D3" s="2" t="s">
        <v>790</v>
      </c>
      <c r="E3" s="99">
        <f>E2-E1</f>
        <v>2402.0999999999995</v>
      </c>
    </row>
    <row r="4" spans="1:5">
      <c r="A4" s="97" t="s">
        <v>897</v>
      </c>
      <c r="B4" s="61">
        <v>41.99</v>
      </c>
      <c r="E4" s="162">
        <f>E3/2</f>
        <v>1201.0499999999997</v>
      </c>
    </row>
    <row r="5" spans="1:5">
      <c r="A5" s="97" t="s">
        <v>463</v>
      </c>
      <c r="B5" s="61">
        <v>7</v>
      </c>
    </row>
    <row r="6" spans="1:5">
      <c r="A6" s="97" t="s">
        <v>464</v>
      </c>
      <c r="B6" s="61">
        <v>39.21</v>
      </c>
    </row>
    <row r="7" spans="1:5">
      <c r="A7" s="97" t="s">
        <v>754</v>
      </c>
      <c r="B7" s="61">
        <v>66.33</v>
      </c>
    </row>
    <row r="8" spans="1:5">
      <c r="A8" s="97" t="s">
        <v>464</v>
      </c>
      <c r="B8" s="61">
        <v>27.76</v>
      </c>
    </row>
    <row r="9" spans="1:5">
      <c r="A9" s="97" t="s">
        <v>898</v>
      </c>
      <c r="B9" s="61">
        <v>10.5</v>
      </c>
    </row>
    <row r="10" spans="1:5">
      <c r="A10" s="97" t="s">
        <v>757</v>
      </c>
      <c r="B10" s="61">
        <v>220</v>
      </c>
    </row>
    <row r="11" spans="1:5">
      <c r="A11" s="97" t="s">
        <v>655</v>
      </c>
      <c r="B11" s="61">
        <v>20</v>
      </c>
    </row>
    <row r="12" spans="1:5">
      <c r="A12" s="97" t="s">
        <v>791</v>
      </c>
      <c r="B12" s="61">
        <v>6</v>
      </c>
    </row>
    <row r="13" spans="1:5">
      <c r="A13" s="97" t="s">
        <v>754</v>
      </c>
      <c r="B13" s="61">
        <v>10.59</v>
      </c>
    </row>
    <row r="14" spans="1:5">
      <c r="A14" s="97" t="s">
        <v>42</v>
      </c>
      <c r="B14" s="61">
        <v>77.72</v>
      </c>
    </row>
    <row r="15" spans="1:5">
      <c r="B15" s="61"/>
    </row>
    <row r="16" spans="1:5">
      <c r="B16" s="61"/>
    </row>
    <row r="17" spans="2:2">
      <c r="B17" s="61"/>
    </row>
    <row r="18" spans="2:2">
      <c r="B18" s="61"/>
    </row>
    <row r="19" spans="2:2">
      <c r="B19" s="61"/>
    </row>
    <row r="20" spans="2:2">
      <c r="B20" s="61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0"/>
  <sheetViews>
    <sheetView workbookViewId="0">
      <selection activeCell="Q35" sqref="Q35"/>
    </sheetView>
  </sheetViews>
  <sheetFormatPr baseColWidth="10" defaultColWidth="8.83203125" defaultRowHeight="15"/>
  <cols>
    <col min="2" max="2" width="9.6640625" bestFit="1" customWidth="1"/>
    <col min="4" max="4" width="13.5" customWidth="1"/>
    <col min="5" max="5" width="15.832031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4642.5200000000004</v>
      </c>
    </row>
    <row r="2" spans="1:5" ht="16" customHeight="1">
      <c r="A2" s="97" t="s">
        <v>899</v>
      </c>
      <c r="B2" s="161">
        <v>4050</v>
      </c>
      <c r="C2" s="97"/>
      <c r="D2" s="2" t="s">
        <v>788</v>
      </c>
      <c r="E2" s="99">
        <v>5795</v>
      </c>
    </row>
    <row r="3" spans="1:5">
      <c r="A3" s="97" t="s">
        <v>789</v>
      </c>
      <c r="B3" s="109">
        <v>346.8</v>
      </c>
      <c r="C3" s="97"/>
      <c r="D3" s="2"/>
      <c r="E3" s="99"/>
    </row>
    <row r="4" spans="1:5" ht="16" customHeight="1">
      <c r="A4" s="97" t="s">
        <v>655</v>
      </c>
      <c r="B4" s="200">
        <v>8</v>
      </c>
      <c r="C4" s="97"/>
      <c r="D4" s="2" t="s">
        <v>790</v>
      </c>
      <c r="E4" s="99">
        <f>E2-E1</f>
        <v>1152.4799999999996</v>
      </c>
    </row>
    <row r="5" spans="1:5">
      <c r="A5" s="97" t="s">
        <v>425</v>
      </c>
      <c r="B5" s="195">
        <v>120</v>
      </c>
    </row>
    <row r="6" spans="1:5">
      <c r="A6" s="97" t="s">
        <v>760</v>
      </c>
      <c r="B6" s="195">
        <v>40</v>
      </c>
    </row>
    <row r="7" spans="1:5">
      <c r="A7" s="97" t="s">
        <v>42</v>
      </c>
      <c r="B7" s="195">
        <v>77.72</v>
      </c>
    </row>
    <row r="8" spans="1:5">
      <c r="B8" s="195"/>
    </row>
    <row r="9" spans="1:5">
      <c r="B9" s="195"/>
    </row>
    <row r="10" spans="1:5">
      <c r="B10" s="195"/>
    </row>
    <row r="11" spans="1:5">
      <c r="B11" s="195"/>
    </row>
    <row r="12" spans="1:5">
      <c r="B12" s="195"/>
    </row>
    <row r="13" spans="1:5">
      <c r="B13" s="195"/>
    </row>
    <row r="14" spans="1:5">
      <c r="B14" s="195"/>
    </row>
    <row r="15" spans="1:5">
      <c r="B15" s="195"/>
    </row>
    <row r="16" spans="1:5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  <row r="22" spans="2:2">
      <c r="B22" s="195"/>
    </row>
    <row r="23" spans="2:2">
      <c r="B23" s="195"/>
    </row>
    <row r="24" spans="2:2">
      <c r="B24" s="195"/>
    </row>
    <row r="25" spans="2:2">
      <c r="B25" s="195"/>
    </row>
    <row r="26" spans="2:2">
      <c r="B26" s="195"/>
    </row>
    <row r="27" spans="2:2">
      <c r="B27" s="195"/>
    </row>
    <row r="28" spans="2:2">
      <c r="B28" s="195"/>
    </row>
    <row r="29" spans="2:2">
      <c r="B29" s="195"/>
    </row>
    <row r="30" spans="2:2">
      <c r="B30" s="195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3"/>
  <sheetViews>
    <sheetView workbookViewId="0">
      <selection activeCell="B15" sqref="B15"/>
    </sheetView>
  </sheetViews>
  <sheetFormatPr baseColWidth="10" defaultColWidth="8.83203125" defaultRowHeight="15"/>
  <cols>
    <col min="1" max="1" width="11.6640625" bestFit="1" customWidth="1"/>
    <col min="2" max="2" width="12.1640625" customWidth="1"/>
    <col min="5" max="5" width="13.5" customWidth="1"/>
    <col min="6" max="6" width="68.5" bestFit="1" customWidth="1"/>
  </cols>
  <sheetData>
    <row r="1" spans="1:6" ht="16" customHeight="1">
      <c r="A1" s="97" t="s">
        <v>787</v>
      </c>
      <c r="B1" s="102" t="s">
        <v>439</v>
      </c>
      <c r="C1" s="97"/>
      <c r="D1" s="2" t="s">
        <v>28</v>
      </c>
      <c r="E1" s="99">
        <v>8</v>
      </c>
    </row>
    <row r="2" spans="1:6" ht="16" customHeight="1">
      <c r="A2" s="97" t="s">
        <v>900</v>
      </c>
      <c r="B2" s="109">
        <v>800</v>
      </c>
      <c r="C2" s="97"/>
      <c r="D2" s="2" t="s">
        <v>788</v>
      </c>
      <c r="E2" s="99">
        <v>1995</v>
      </c>
    </row>
    <row r="3" spans="1:6" ht="32" customHeight="1">
      <c r="A3" s="97" t="s">
        <v>655</v>
      </c>
      <c r="B3" s="109">
        <v>8</v>
      </c>
      <c r="C3" s="97"/>
      <c r="D3" s="2" t="s">
        <v>790</v>
      </c>
      <c r="E3" s="99">
        <v>1586.99</v>
      </c>
      <c r="F3" t="s">
        <v>901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19"/>
  <sheetViews>
    <sheetView workbookViewId="0">
      <selection activeCell="B10" sqref="B10"/>
    </sheetView>
  </sheetViews>
  <sheetFormatPr baseColWidth="10" defaultColWidth="8.83203125" defaultRowHeight="15"/>
  <cols>
    <col min="2" max="2" width="10.33203125" bestFit="1" customWidth="1"/>
    <col min="5" max="5" width="10.332031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4399.21</v>
      </c>
    </row>
    <row r="2" spans="1:5" ht="16" customHeight="1">
      <c r="A2" s="97" t="s">
        <v>854</v>
      </c>
      <c r="B2" s="109">
        <v>3900</v>
      </c>
      <c r="C2" s="97"/>
      <c r="D2" s="2" t="s">
        <v>788</v>
      </c>
      <c r="E2" s="99">
        <v>7250</v>
      </c>
    </row>
    <row r="3" spans="1:5" ht="32" customHeight="1">
      <c r="A3" s="97" t="s">
        <v>789</v>
      </c>
      <c r="B3" s="109">
        <v>322.8</v>
      </c>
      <c r="C3" s="97"/>
      <c r="D3" s="2" t="s">
        <v>790</v>
      </c>
      <c r="E3" s="99">
        <f>E2-E1</f>
        <v>2850.79</v>
      </c>
    </row>
    <row r="4" spans="1:5">
      <c r="A4" s="97" t="s">
        <v>902</v>
      </c>
      <c r="B4" s="61">
        <v>19.95</v>
      </c>
    </row>
    <row r="5" spans="1:5">
      <c r="A5" s="97" t="s">
        <v>903</v>
      </c>
      <c r="B5" s="61">
        <v>30</v>
      </c>
    </row>
    <row r="6" spans="1:5">
      <c r="A6" s="97" t="s">
        <v>464</v>
      </c>
      <c r="B6" s="61">
        <v>24.51</v>
      </c>
    </row>
    <row r="7" spans="1:5">
      <c r="A7" s="97" t="s">
        <v>655</v>
      </c>
      <c r="B7" s="61">
        <v>20</v>
      </c>
    </row>
    <row r="8" spans="1:5">
      <c r="A8" s="97" t="s">
        <v>655</v>
      </c>
      <c r="B8" s="61">
        <v>12</v>
      </c>
    </row>
    <row r="9" spans="1:5">
      <c r="A9" s="97" t="s">
        <v>42</v>
      </c>
      <c r="B9" s="61">
        <v>69.95</v>
      </c>
    </row>
    <row r="10" spans="1:5">
      <c r="B10" s="61"/>
    </row>
    <row r="11" spans="1:5">
      <c r="B11" s="61"/>
    </row>
    <row r="12" spans="1:5">
      <c r="B12" s="61"/>
    </row>
    <row r="13" spans="1:5">
      <c r="B13" s="61"/>
    </row>
    <row r="14" spans="1:5">
      <c r="B14" s="61"/>
    </row>
    <row r="15" spans="1:5">
      <c r="B15" s="61"/>
    </row>
    <row r="16" spans="1:5">
      <c r="B16" s="61"/>
    </row>
    <row r="17" spans="2:2">
      <c r="B17" s="61"/>
    </row>
    <row r="18" spans="2:2">
      <c r="B18" s="61"/>
    </row>
    <row r="19" spans="2:2">
      <c r="B19" s="61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21"/>
  <sheetViews>
    <sheetView zoomScale="125" workbookViewId="0">
      <selection activeCell="B10" sqref="B10:B15"/>
    </sheetView>
  </sheetViews>
  <sheetFormatPr baseColWidth="10" defaultColWidth="8.83203125" defaultRowHeight="15"/>
  <cols>
    <col min="2" max="2" width="10.33203125" bestFit="1" customWidth="1"/>
    <col min="5" max="5" width="9.33203125" bestFit="1" customWidth="1"/>
  </cols>
  <sheetData>
    <row r="1" spans="1:8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5732.3200000000006</v>
      </c>
    </row>
    <row r="2" spans="1:8" ht="16" customHeight="1">
      <c r="A2" s="97" t="s">
        <v>854</v>
      </c>
      <c r="B2" s="109">
        <v>4650</v>
      </c>
      <c r="C2" s="97"/>
      <c r="D2" s="2" t="s">
        <v>788</v>
      </c>
      <c r="E2" s="99">
        <v>7995</v>
      </c>
      <c r="G2" t="s">
        <v>904</v>
      </c>
      <c r="H2">
        <v>99</v>
      </c>
    </row>
    <row r="3" spans="1:8" ht="32" customHeight="1">
      <c r="A3" s="97" t="s">
        <v>789</v>
      </c>
      <c r="B3" s="109">
        <v>370.8</v>
      </c>
      <c r="C3" s="97"/>
      <c r="D3" s="2" t="s">
        <v>790</v>
      </c>
      <c r="E3" s="99">
        <f>E2-E1</f>
        <v>2262.6799999999994</v>
      </c>
      <c r="G3" t="s">
        <v>885</v>
      </c>
      <c r="H3">
        <v>120</v>
      </c>
    </row>
    <row r="4" spans="1:8">
      <c r="A4" s="97" t="s">
        <v>754</v>
      </c>
      <c r="B4" s="61">
        <v>30.01</v>
      </c>
    </row>
    <row r="5" spans="1:8">
      <c r="A5" s="97" t="s">
        <v>905</v>
      </c>
      <c r="B5" s="61">
        <v>50</v>
      </c>
    </row>
    <row r="6" spans="1:8">
      <c r="A6" s="97" t="s">
        <v>906</v>
      </c>
      <c r="B6" s="61">
        <v>66.45</v>
      </c>
    </row>
    <row r="7" spans="1:8">
      <c r="A7" s="97" t="s">
        <v>907</v>
      </c>
      <c r="B7" s="61">
        <v>7.5</v>
      </c>
    </row>
    <row r="8" spans="1:8">
      <c r="A8" s="97" t="s">
        <v>777</v>
      </c>
      <c r="B8" s="61">
        <v>130</v>
      </c>
    </row>
    <row r="9" spans="1:8">
      <c r="A9" s="97" t="s">
        <v>464</v>
      </c>
      <c r="B9" s="61">
        <v>29.14</v>
      </c>
    </row>
    <row r="10" spans="1:8">
      <c r="A10" s="97" t="s">
        <v>655</v>
      </c>
      <c r="B10" s="61">
        <v>20</v>
      </c>
    </row>
    <row r="11" spans="1:8">
      <c r="A11" s="97" t="s">
        <v>464</v>
      </c>
      <c r="B11" s="61">
        <v>22.93</v>
      </c>
    </row>
    <row r="12" spans="1:8">
      <c r="A12" s="97" t="s">
        <v>777</v>
      </c>
      <c r="B12" s="61">
        <v>200</v>
      </c>
    </row>
    <row r="13" spans="1:8">
      <c r="A13" s="97" t="s">
        <v>655</v>
      </c>
      <c r="B13" s="61">
        <v>20</v>
      </c>
    </row>
    <row r="14" spans="1:8">
      <c r="A14" s="97" t="s">
        <v>908</v>
      </c>
      <c r="B14" s="61">
        <v>3</v>
      </c>
    </row>
    <row r="15" spans="1:8">
      <c r="A15" s="97" t="s">
        <v>655</v>
      </c>
      <c r="B15" s="61">
        <v>20</v>
      </c>
    </row>
    <row r="16" spans="1:8">
      <c r="A16" s="97" t="s">
        <v>754</v>
      </c>
      <c r="B16" s="61">
        <v>3</v>
      </c>
    </row>
    <row r="17" spans="1:2">
      <c r="A17" s="97" t="s">
        <v>754</v>
      </c>
      <c r="B17" s="61">
        <v>8.99</v>
      </c>
    </row>
    <row r="18" spans="1:2">
      <c r="A18" s="97" t="s">
        <v>754</v>
      </c>
      <c r="B18" s="61">
        <v>15</v>
      </c>
    </row>
    <row r="19" spans="1:2">
      <c r="A19" s="97" t="s">
        <v>754</v>
      </c>
      <c r="B19" s="61">
        <v>3.05</v>
      </c>
    </row>
    <row r="20" spans="1:2">
      <c r="A20" s="97" t="s">
        <v>42</v>
      </c>
      <c r="B20" s="61">
        <v>69.95</v>
      </c>
    </row>
    <row r="21" spans="1:2">
      <c r="A21" s="97" t="s">
        <v>909</v>
      </c>
      <c r="B21" s="61">
        <v>12.5</v>
      </c>
    </row>
  </sheetData>
  <autoFilter ref="A1:B21" xr:uid="{00000000-0009-0000-0000-00004C000000}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13"/>
  <sheetViews>
    <sheetView workbookViewId="0">
      <selection activeCell="B8" sqref="B8"/>
    </sheetView>
  </sheetViews>
  <sheetFormatPr baseColWidth="10" defaultColWidth="8.83203125" defaultRowHeight="15"/>
  <cols>
    <col min="1" max="1" width="17" bestFit="1" customWidth="1"/>
    <col min="2" max="2" width="16.83203125" customWidth="1"/>
    <col min="4" max="4" width="7.33203125" bestFit="1" customWidth="1"/>
    <col min="5" max="5" width="9.33203125" bestFit="1" customWidth="1"/>
    <col min="7" max="7" width="11.6640625" bestFit="1" customWidth="1"/>
    <col min="8" max="8" width="11.6640625" customWidth="1"/>
  </cols>
  <sheetData>
    <row r="1" spans="1:8" ht="32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5975.85</v>
      </c>
    </row>
    <row r="2" spans="1:8" ht="16" customHeight="1">
      <c r="A2" s="97" t="s">
        <v>854</v>
      </c>
      <c r="B2" s="109">
        <v>5800</v>
      </c>
      <c r="C2" s="97"/>
      <c r="D2" s="2" t="s">
        <v>788</v>
      </c>
      <c r="E2" s="99">
        <v>7400</v>
      </c>
      <c r="G2" t="s">
        <v>900</v>
      </c>
      <c r="H2" s="61">
        <v>800</v>
      </c>
    </row>
    <row r="3" spans="1:8" ht="32" customHeight="1">
      <c r="A3" s="97" t="s">
        <v>910</v>
      </c>
      <c r="B3" s="109">
        <v>53.83</v>
      </c>
      <c r="C3" s="97"/>
      <c r="D3" s="2" t="s">
        <v>790</v>
      </c>
      <c r="E3" s="99">
        <f>E2-E1</f>
        <v>1424.1499999999996</v>
      </c>
    </row>
    <row r="4" spans="1:8">
      <c r="A4" s="97" t="s">
        <v>911</v>
      </c>
      <c r="B4" s="61">
        <f>2.97 + 26.67</f>
        <v>29.64</v>
      </c>
    </row>
    <row r="5" spans="1:8">
      <c r="A5" s="97" t="s">
        <v>754</v>
      </c>
      <c r="B5" s="61">
        <v>40</v>
      </c>
    </row>
    <row r="6" spans="1:8">
      <c r="A6" s="97" t="s">
        <v>799</v>
      </c>
      <c r="B6" s="61">
        <v>20</v>
      </c>
    </row>
    <row r="7" spans="1:8">
      <c r="A7" s="97" t="s">
        <v>807</v>
      </c>
      <c r="B7" s="61">
        <v>32.380000000000003</v>
      </c>
    </row>
    <row r="8" spans="1:8">
      <c r="A8" s="97"/>
      <c r="B8" s="61"/>
    </row>
    <row r="9" spans="1:8">
      <c r="B9" s="61"/>
    </row>
    <row r="10" spans="1:8">
      <c r="B10" s="61"/>
    </row>
    <row r="11" spans="1:8">
      <c r="B11" s="61"/>
    </row>
    <row r="12" spans="1:8">
      <c r="B12" s="61"/>
    </row>
    <row r="13" spans="1:8">
      <c r="B13" s="61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20"/>
  <sheetViews>
    <sheetView workbookViewId="0">
      <selection activeCell="F15" sqref="F15"/>
    </sheetView>
  </sheetViews>
  <sheetFormatPr baseColWidth="10" defaultColWidth="8.83203125" defaultRowHeight="15"/>
  <cols>
    <col min="1" max="1" width="19.5" customWidth="1"/>
    <col min="2" max="2" width="10.33203125" bestFit="1" customWidth="1"/>
    <col min="5" max="5" width="9.332031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4901.8900000000003</v>
      </c>
    </row>
    <row r="2" spans="1:5" ht="16" customHeight="1">
      <c r="A2" s="97" t="s">
        <v>854</v>
      </c>
      <c r="B2" s="109">
        <v>3200</v>
      </c>
      <c r="C2" s="97"/>
      <c r="D2" s="2" t="s">
        <v>788</v>
      </c>
      <c r="E2" s="99">
        <v>5695</v>
      </c>
    </row>
    <row r="3" spans="1:5" ht="32" customHeight="1">
      <c r="A3" s="97" t="s">
        <v>912</v>
      </c>
      <c r="B3" s="109">
        <v>358.8</v>
      </c>
      <c r="C3" s="97"/>
      <c r="D3" s="2" t="s">
        <v>790</v>
      </c>
      <c r="E3" s="99">
        <f>E2-E1</f>
        <v>793.10999999999967</v>
      </c>
    </row>
    <row r="4" spans="1:5">
      <c r="A4" s="97" t="s">
        <v>791</v>
      </c>
      <c r="B4" s="61">
        <v>34.450000000000003</v>
      </c>
    </row>
    <row r="5" spans="1:5">
      <c r="A5" s="97" t="s">
        <v>907</v>
      </c>
      <c r="B5" s="61">
        <v>7.5</v>
      </c>
    </row>
    <row r="6" spans="1:5">
      <c r="A6" s="97" t="s">
        <v>905</v>
      </c>
      <c r="B6" s="61">
        <v>50</v>
      </c>
    </row>
    <row r="7" spans="1:5">
      <c r="A7" s="97" t="s">
        <v>906</v>
      </c>
      <c r="B7" s="61">
        <v>66.45</v>
      </c>
    </row>
    <row r="8" spans="1:5">
      <c r="A8" s="97" t="s">
        <v>810</v>
      </c>
      <c r="B8" s="61">
        <v>465</v>
      </c>
    </row>
    <row r="9" spans="1:5">
      <c r="A9" t="s">
        <v>770</v>
      </c>
      <c r="B9" s="61">
        <v>320</v>
      </c>
    </row>
    <row r="10" spans="1:5">
      <c r="A10" s="97" t="s">
        <v>777</v>
      </c>
      <c r="B10" s="61">
        <v>150</v>
      </c>
    </row>
    <row r="11" spans="1:5">
      <c r="A11" s="97" t="s">
        <v>843</v>
      </c>
      <c r="B11" s="61">
        <v>43.24</v>
      </c>
    </row>
    <row r="12" spans="1:5">
      <c r="A12" s="97" t="s">
        <v>655</v>
      </c>
      <c r="B12" s="61">
        <v>8</v>
      </c>
    </row>
    <row r="13" spans="1:5">
      <c r="A13" s="97" t="s">
        <v>754</v>
      </c>
      <c r="B13" s="61">
        <v>5.01</v>
      </c>
    </row>
    <row r="14" spans="1:5">
      <c r="A14" s="97" t="s">
        <v>913</v>
      </c>
      <c r="B14" s="61">
        <v>25.84</v>
      </c>
    </row>
    <row r="15" spans="1:5">
      <c r="A15" s="97" t="s">
        <v>914</v>
      </c>
      <c r="B15" s="61">
        <v>10</v>
      </c>
    </row>
    <row r="16" spans="1:5">
      <c r="B16" s="61">
        <v>77.72</v>
      </c>
    </row>
    <row r="17" spans="1:2">
      <c r="B17" s="61">
        <v>20</v>
      </c>
    </row>
    <row r="18" spans="1:2">
      <c r="A18" s="97" t="s">
        <v>791</v>
      </c>
      <c r="B18" s="61">
        <v>14.5</v>
      </c>
    </row>
    <row r="19" spans="1:2">
      <c r="A19" s="97" t="s">
        <v>791</v>
      </c>
      <c r="B19" s="61">
        <v>5.38</v>
      </c>
    </row>
    <row r="20" spans="1:2">
      <c r="A20" s="97" t="s">
        <v>915</v>
      </c>
      <c r="B20" s="61">
        <v>40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19"/>
  <sheetViews>
    <sheetView workbookViewId="0">
      <selection activeCell="B12" sqref="B12:B13"/>
    </sheetView>
  </sheetViews>
  <sheetFormatPr baseColWidth="10" defaultColWidth="8.83203125" defaultRowHeight="15"/>
  <cols>
    <col min="2" max="2" width="10.33203125" bestFit="1" customWidth="1"/>
    <col min="5" max="5" width="9.332031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3526.9366666666665</v>
      </c>
    </row>
    <row r="2" spans="1:5" ht="16" customHeight="1">
      <c r="A2" s="97" t="s">
        <v>854</v>
      </c>
      <c r="B2" s="109">
        <v>2625</v>
      </c>
      <c r="C2" s="97"/>
      <c r="D2" s="2" t="s">
        <v>788</v>
      </c>
      <c r="E2" s="99">
        <v>5000</v>
      </c>
    </row>
    <row r="3" spans="1:5">
      <c r="A3" s="97" t="s">
        <v>789</v>
      </c>
      <c r="B3" s="109">
        <v>358.8</v>
      </c>
      <c r="C3" s="97"/>
      <c r="D3" s="2"/>
      <c r="E3" s="99"/>
    </row>
    <row r="4" spans="1:5" ht="32" customHeight="1">
      <c r="A4" s="97" t="s">
        <v>910</v>
      </c>
      <c r="B4" s="109">
        <v>53.83</v>
      </c>
      <c r="C4" s="97"/>
      <c r="D4" s="2" t="s">
        <v>790</v>
      </c>
      <c r="E4" s="99">
        <f>E2-E1</f>
        <v>1473.0633333333335</v>
      </c>
    </row>
    <row r="5" spans="1:5">
      <c r="A5" s="97" t="s">
        <v>451</v>
      </c>
      <c r="B5" s="61">
        <v>2.97</v>
      </c>
    </row>
    <row r="6" spans="1:5">
      <c r="A6" s="97" t="s">
        <v>464</v>
      </c>
      <c r="B6" s="61">
        <v>40.07</v>
      </c>
    </row>
    <row r="7" spans="1:5">
      <c r="A7" s="97" t="s">
        <v>464</v>
      </c>
      <c r="B7" s="61">
        <v>101.77</v>
      </c>
    </row>
    <row r="8" spans="1:5">
      <c r="A8" s="97" t="s">
        <v>754</v>
      </c>
      <c r="B8" s="61">
        <v>19.84</v>
      </c>
    </row>
    <row r="9" spans="1:5">
      <c r="A9" s="97" t="s">
        <v>916</v>
      </c>
      <c r="B9" s="61">
        <v>90</v>
      </c>
    </row>
    <row r="10" spans="1:5">
      <c r="A10" s="97" t="s">
        <v>917</v>
      </c>
      <c r="B10" s="61">
        <f>80/3</f>
        <v>26.666666666666668</v>
      </c>
    </row>
    <row r="11" spans="1:5">
      <c r="A11" s="97" t="s">
        <v>425</v>
      </c>
      <c r="B11" s="61">
        <v>120</v>
      </c>
    </row>
    <row r="12" spans="1:5">
      <c r="A12" s="97" t="s">
        <v>754</v>
      </c>
      <c r="B12" s="61">
        <v>8</v>
      </c>
    </row>
    <row r="13" spans="1:5">
      <c r="A13" s="97" t="s">
        <v>754</v>
      </c>
      <c r="B13" s="61">
        <v>10.039999999999999</v>
      </c>
    </row>
    <row r="14" spans="1:5">
      <c r="A14" t="s">
        <v>42</v>
      </c>
      <c r="B14" s="61">
        <v>69.95</v>
      </c>
      <c r="C14" s="61"/>
    </row>
    <row r="15" spans="1:5">
      <c r="B15" s="61"/>
    </row>
    <row r="16" spans="1:5">
      <c r="B16" s="61"/>
    </row>
    <row r="17" spans="2:2">
      <c r="B17" s="61"/>
    </row>
    <row r="18" spans="2:2">
      <c r="B18" s="61"/>
    </row>
    <row r="19" spans="2:2">
      <c r="B19" s="61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9"/>
  <sheetViews>
    <sheetView workbookViewId="0">
      <selection activeCell="F2" sqref="F2"/>
    </sheetView>
  </sheetViews>
  <sheetFormatPr baseColWidth="10" defaultColWidth="8.83203125" defaultRowHeight="15"/>
  <cols>
    <col min="2" max="2" width="10.33203125" bestFit="1" customWidth="1"/>
    <col min="5" max="5" width="9.332031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2571.2166666666662</v>
      </c>
    </row>
    <row r="2" spans="1:5" ht="16" customHeight="1">
      <c r="A2" s="97" t="s">
        <v>854</v>
      </c>
      <c r="B2" s="109">
        <v>2100</v>
      </c>
      <c r="C2" s="97"/>
      <c r="D2" s="2" t="s">
        <v>788</v>
      </c>
      <c r="E2" s="99">
        <v>3500</v>
      </c>
    </row>
    <row r="3" spans="1:5" ht="32" customHeight="1">
      <c r="A3" s="97" t="s">
        <v>279</v>
      </c>
      <c r="B3" s="109">
        <v>322.8</v>
      </c>
      <c r="C3" s="97"/>
      <c r="D3" s="2" t="s">
        <v>790</v>
      </c>
      <c r="E3" s="99">
        <f>E2-E1</f>
        <v>928.78333333333376</v>
      </c>
    </row>
    <row r="4" spans="1:5">
      <c r="A4" s="97" t="s">
        <v>910</v>
      </c>
      <c r="B4" s="109">
        <v>53.83</v>
      </c>
    </row>
    <row r="5" spans="1:5">
      <c r="A5" s="97" t="s">
        <v>451</v>
      </c>
      <c r="B5" s="61">
        <v>2.97</v>
      </c>
    </row>
    <row r="6" spans="1:5">
      <c r="A6" s="97" t="s">
        <v>655</v>
      </c>
      <c r="B6" s="109">
        <v>8</v>
      </c>
    </row>
    <row r="7" spans="1:5">
      <c r="A7" s="97" t="s">
        <v>791</v>
      </c>
      <c r="B7" s="109">
        <v>46.95</v>
      </c>
    </row>
    <row r="8" spans="1:5">
      <c r="A8" s="97" t="s">
        <v>918</v>
      </c>
      <c r="B8" s="109">
        <v>10</v>
      </c>
    </row>
    <row r="9" spans="1:5">
      <c r="A9" s="97" t="s">
        <v>917</v>
      </c>
      <c r="B9" s="61">
        <f>80/3</f>
        <v>26.666666666666668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6"/>
  <sheetViews>
    <sheetView workbookViewId="0">
      <selection activeCell="A14" sqref="A14"/>
    </sheetView>
  </sheetViews>
  <sheetFormatPr baseColWidth="10" defaultColWidth="8.83203125" defaultRowHeight="15"/>
  <cols>
    <col min="2" max="2" width="10.33203125" bestFit="1" customWidth="1"/>
    <col min="5" max="5" width="9.33203125" bestFit="1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4783.3200000000006</v>
      </c>
    </row>
    <row r="2" spans="1:5" ht="16" customHeight="1">
      <c r="A2" s="97" t="s">
        <v>854</v>
      </c>
      <c r="B2" s="109">
        <v>4000</v>
      </c>
      <c r="C2" s="97"/>
      <c r="D2" s="2" t="s">
        <v>788</v>
      </c>
      <c r="E2" s="99">
        <v>6995</v>
      </c>
    </row>
    <row r="3" spans="1:5" ht="32" customHeight="1">
      <c r="A3" s="97" t="s">
        <v>754</v>
      </c>
      <c r="B3" s="109">
        <v>14.65</v>
      </c>
      <c r="C3" s="97"/>
      <c r="D3" s="2" t="s">
        <v>790</v>
      </c>
      <c r="E3" s="99">
        <f>E2-E1</f>
        <v>2211.6799999999994</v>
      </c>
    </row>
    <row r="4" spans="1:5">
      <c r="A4" s="97" t="s">
        <v>880</v>
      </c>
      <c r="B4" s="61">
        <v>30</v>
      </c>
    </row>
    <row r="5" spans="1:5">
      <c r="A5" s="97" t="s">
        <v>799</v>
      </c>
      <c r="B5" s="61">
        <v>30</v>
      </c>
    </row>
    <row r="6" spans="1:5">
      <c r="A6" s="97" t="s">
        <v>754</v>
      </c>
      <c r="B6" s="61">
        <v>5.75</v>
      </c>
    </row>
    <row r="7" spans="1:5">
      <c r="A7" s="97" t="s">
        <v>754</v>
      </c>
      <c r="B7" s="61">
        <v>5.19</v>
      </c>
    </row>
    <row r="8" spans="1:5">
      <c r="A8" s="97" t="s">
        <v>433</v>
      </c>
      <c r="B8" s="61">
        <v>230</v>
      </c>
    </row>
    <row r="9" spans="1:5">
      <c r="A9" s="97" t="s">
        <v>919</v>
      </c>
      <c r="B9" s="61">
        <v>15</v>
      </c>
    </row>
    <row r="10" spans="1:5">
      <c r="A10" s="380" t="s">
        <v>789</v>
      </c>
      <c r="B10" s="61">
        <v>346.8</v>
      </c>
    </row>
    <row r="11" spans="1:5">
      <c r="A11" s="97" t="s">
        <v>843</v>
      </c>
      <c r="B11" s="61">
        <v>4.58</v>
      </c>
    </row>
    <row r="12" spans="1:5">
      <c r="A12" s="97" t="s">
        <v>919</v>
      </c>
      <c r="B12" s="61">
        <v>15</v>
      </c>
    </row>
    <row r="13" spans="1:5">
      <c r="A13" s="380" t="s">
        <v>42</v>
      </c>
      <c r="B13" s="61">
        <v>86.35</v>
      </c>
    </row>
    <row r="14" spans="1:5">
      <c r="B14" s="61"/>
    </row>
    <row r="15" spans="1:5">
      <c r="B15" s="61"/>
    </row>
    <row r="16" spans="1:5">
      <c r="B16" s="61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5"/>
  <sheetViews>
    <sheetView workbookViewId="0">
      <selection activeCell="T32" sqref="T32"/>
    </sheetView>
  </sheetViews>
  <sheetFormatPr baseColWidth="10" defaultColWidth="8.83203125" defaultRowHeight="15"/>
  <cols>
    <col min="1" max="1" width="8.1640625" bestFit="1" customWidth="1"/>
    <col min="2" max="2" width="11.6640625" customWidth="1"/>
    <col min="4" max="4" width="10.33203125" bestFit="1" customWidth="1"/>
    <col min="5" max="5" width="17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155">
        <f>SUM(B:B)</f>
        <v>5248.4033333333336</v>
      </c>
    </row>
    <row r="2" spans="1:5" ht="16" customHeight="1">
      <c r="A2" s="97" t="s">
        <v>854</v>
      </c>
      <c r="B2" s="109">
        <v>4750</v>
      </c>
      <c r="C2" s="97"/>
      <c r="D2" s="2" t="s">
        <v>788</v>
      </c>
      <c r="E2" s="149">
        <v>7495</v>
      </c>
    </row>
    <row r="3" spans="1:5" ht="16" customHeight="1">
      <c r="A3" s="97" t="s">
        <v>279</v>
      </c>
      <c r="B3" s="109">
        <v>370.8</v>
      </c>
      <c r="C3" s="97"/>
      <c r="D3" s="2" t="s">
        <v>790</v>
      </c>
      <c r="E3" s="155">
        <f>E2-E1</f>
        <v>2246.5966666666664</v>
      </c>
    </row>
    <row r="4" spans="1:5">
      <c r="A4" s="97" t="s">
        <v>920</v>
      </c>
      <c r="B4" s="61">
        <v>74.63</v>
      </c>
    </row>
    <row r="5" spans="1:5">
      <c r="A5" s="97" t="s">
        <v>465</v>
      </c>
      <c r="B5" s="109">
        <v>26.66</v>
      </c>
    </row>
    <row r="6" spans="1:5">
      <c r="A6" s="97" t="s">
        <v>655</v>
      </c>
      <c r="B6" s="61">
        <v>15</v>
      </c>
    </row>
    <row r="7" spans="1:5">
      <c r="A7" s="97" t="s">
        <v>799</v>
      </c>
      <c r="B7" s="61">
        <v>8</v>
      </c>
    </row>
    <row r="8" spans="1:5">
      <c r="A8" s="97" t="s">
        <v>921</v>
      </c>
      <c r="B8" s="61">
        <f>9.94/3</f>
        <v>3.313333333333333</v>
      </c>
    </row>
    <row r="9" spans="1:5">
      <c r="B9" s="61"/>
    </row>
    <row r="10" spans="1:5">
      <c r="B10" s="61"/>
    </row>
    <row r="11" spans="1:5">
      <c r="B11" s="61"/>
    </row>
    <row r="12" spans="1:5">
      <c r="B12" s="61"/>
    </row>
    <row r="13" spans="1:5">
      <c r="B13" s="61"/>
    </row>
    <row r="14" spans="1:5">
      <c r="B14" s="61"/>
    </row>
    <row r="15" spans="1:5">
      <c r="B15" s="61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8"/>
  <sheetViews>
    <sheetView workbookViewId="0">
      <selection activeCell="D21" sqref="D21"/>
    </sheetView>
  </sheetViews>
  <sheetFormatPr baseColWidth="10" defaultColWidth="8.83203125" defaultRowHeight="15"/>
  <cols>
    <col min="1" max="1" width="13.83203125" bestFit="1" customWidth="1"/>
    <col min="2" max="2" width="15.1640625" customWidth="1"/>
    <col min="4" max="4" width="20.1640625" customWidth="1"/>
    <col min="5" max="5" width="15.5" customWidth="1"/>
  </cols>
  <sheetData>
    <row r="1" spans="1:5" ht="16" customHeight="1">
      <c r="A1" s="2" t="s">
        <v>787</v>
      </c>
      <c r="B1" s="96" t="s">
        <v>439</v>
      </c>
      <c r="D1" s="2" t="s">
        <v>922</v>
      </c>
      <c r="E1" s="96">
        <f>SUM(B:B)</f>
        <v>5602.5433333333331</v>
      </c>
    </row>
    <row r="2" spans="1:5" ht="16" customHeight="1">
      <c r="A2" s="238" t="s">
        <v>261</v>
      </c>
      <c r="B2" s="61">
        <v>4000</v>
      </c>
      <c r="D2" s="2" t="s">
        <v>923</v>
      </c>
      <c r="E2" s="61">
        <v>7793.28</v>
      </c>
    </row>
    <row r="3" spans="1:5" ht="16" customHeight="1">
      <c r="A3" s="238" t="s">
        <v>789</v>
      </c>
      <c r="B3" s="61">
        <v>370.8</v>
      </c>
      <c r="D3" s="2" t="s">
        <v>924</v>
      </c>
      <c r="E3" s="61">
        <f>E2-E1</f>
        <v>2190.7366666666667</v>
      </c>
    </row>
    <row r="4" spans="1:5">
      <c r="A4" s="238" t="s">
        <v>754</v>
      </c>
      <c r="B4" s="61">
        <v>55.09</v>
      </c>
      <c r="E4" s="61"/>
    </row>
    <row r="5" spans="1:5">
      <c r="A5" s="110" t="s">
        <v>920</v>
      </c>
      <c r="B5" s="61">
        <v>74.63</v>
      </c>
    </row>
    <row r="6" spans="1:5">
      <c r="A6" s="238" t="s">
        <v>465</v>
      </c>
      <c r="B6" s="200">
        <v>26.66</v>
      </c>
    </row>
    <row r="7" spans="1:5">
      <c r="A7" s="238" t="s">
        <v>925</v>
      </c>
      <c r="B7" s="61">
        <v>600</v>
      </c>
    </row>
    <row r="8" spans="1:5">
      <c r="A8" s="238" t="s">
        <v>754</v>
      </c>
      <c r="B8" s="61">
        <v>12.19</v>
      </c>
    </row>
    <row r="9" spans="1:5">
      <c r="A9" s="238" t="s">
        <v>791</v>
      </c>
      <c r="B9" s="61">
        <v>24.08</v>
      </c>
    </row>
    <row r="10" spans="1:5">
      <c r="A10" s="238" t="s">
        <v>799</v>
      </c>
      <c r="B10" s="61">
        <v>10</v>
      </c>
    </row>
    <row r="11" spans="1:5">
      <c r="A11" s="110" t="s">
        <v>921</v>
      </c>
      <c r="B11" s="61">
        <f>9.94/3</f>
        <v>3.313333333333333</v>
      </c>
    </row>
    <row r="12" spans="1:5">
      <c r="A12" s="238" t="s">
        <v>926</v>
      </c>
      <c r="B12" s="61">
        <v>130</v>
      </c>
    </row>
    <row r="13" spans="1:5">
      <c r="A13" s="238" t="s">
        <v>799</v>
      </c>
      <c r="B13" s="61">
        <v>12</v>
      </c>
    </row>
    <row r="14" spans="1:5">
      <c r="A14" s="238" t="s">
        <v>927</v>
      </c>
      <c r="B14" s="61">
        <v>130.99</v>
      </c>
    </row>
    <row r="15" spans="1:5">
      <c r="A15" s="238" t="s">
        <v>928</v>
      </c>
      <c r="B15" s="61">
        <v>20</v>
      </c>
    </row>
    <row r="16" spans="1:5">
      <c r="A16" s="238" t="s">
        <v>797</v>
      </c>
      <c r="B16" s="61">
        <v>15.07</v>
      </c>
    </row>
    <row r="17" spans="1:2">
      <c r="A17" s="238" t="s">
        <v>42</v>
      </c>
      <c r="B17" s="61">
        <v>77.72</v>
      </c>
    </row>
    <row r="18" spans="1:2">
      <c r="A18" s="238" t="s">
        <v>464</v>
      </c>
      <c r="B18" s="212">
        <v>40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3"/>
  <sheetViews>
    <sheetView workbookViewId="0">
      <selection activeCell="E2" sqref="E2"/>
    </sheetView>
  </sheetViews>
  <sheetFormatPr baseColWidth="10" defaultColWidth="8.83203125" defaultRowHeight="15"/>
  <cols>
    <col min="1" max="2" width="10.33203125" bestFit="1" customWidth="1"/>
    <col min="4" max="4" width="20.1640625" customWidth="1"/>
    <col min="5" max="5" width="10.33203125" bestFit="1" customWidth="1"/>
  </cols>
  <sheetData>
    <row r="1" spans="1:5" ht="16" customHeight="1">
      <c r="A1" s="2" t="s">
        <v>787</v>
      </c>
      <c r="B1" s="96" t="s">
        <v>439</v>
      </c>
      <c r="D1" s="2" t="s">
        <v>922</v>
      </c>
      <c r="E1" s="61">
        <f>SUM(B2:B17)</f>
        <v>4818.1433333333334</v>
      </c>
    </row>
    <row r="2" spans="1:5" ht="16" customHeight="1">
      <c r="A2" t="s">
        <v>261</v>
      </c>
      <c r="B2" s="61">
        <v>4000</v>
      </c>
      <c r="D2" s="2" t="s">
        <v>923</v>
      </c>
      <c r="E2" s="61">
        <v>5995</v>
      </c>
    </row>
    <row r="3" spans="1:5" ht="16" customHeight="1">
      <c r="A3" t="s">
        <v>789</v>
      </c>
      <c r="B3" s="61">
        <v>346.8</v>
      </c>
      <c r="D3" s="2" t="s">
        <v>924</v>
      </c>
      <c r="E3" s="61">
        <f>E2-E1</f>
        <v>1176.8566666666666</v>
      </c>
    </row>
    <row r="4" spans="1:5">
      <c r="A4" t="s">
        <v>754</v>
      </c>
      <c r="B4" s="61">
        <v>41.9</v>
      </c>
    </row>
    <row r="5" spans="1:5">
      <c r="A5" s="97" t="s">
        <v>920</v>
      </c>
      <c r="B5">
        <v>74.63</v>
      </c>
    </row>
    <row r="6" spans="1:5">
      <c r="A6" s="97" t="s">
        <v>465</v>
      </c>
      <c r="B6" s="102">
        <v>26.66</v>
      </c>
    </row>
    <row r="7" spans="1:5">
      <c r="A7" t="s">
        <v>464</v>
      </c>
      <c r="B7" s="61">
        <v>23.06</v>
      </c>
    </row>
    <row r="8" spans="1:5">
      <c r="A8" t="s">
        <v>464</v>
      </c>
      <c r="B8" s="61">
        <v>17.66</v>
      </c>
    </row>
    <row r="9" spans="1:5">
      <c r="A9" t="s">
        <v>842</v>
      </c>
      <c r="B9" s="61">
        <v>40</v>
      </c>
    </row>
    <row r="10" spans="1:5">
      <c r="A10" s="97" t="s">
        <v>921</v>
      </c>
      <c r="B10" s="61">
        <f>9.94/3</f>
        <v>3.313333333333333</v>
      </c>
    </row>
    <row r="11" spans="1:5">
      <c r="A11" t="s">
        <v>929</v>
      </c>
      <c r="B11" s="61">
        <v>160</v>
      </c>
    </row>
    <row r="12" spans="1:5">
      <c r="A12" t="s">
        <v>42</v>
      </c>
      <c r="B12" s="61">
        <v>69.95</v>
      </c>
    </row>
    <row r="13" spans="1:5">
      <c r="A13" t="s">
        <v>464</v>
      </c>
      <c r="B13" s="61">
        <v>14.17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15"/>
  <sheetViews>
    <sheetView zoomScale="182" workbookViewId="0">
      <selection activeCell="B16" sqref="B16"/>
    </sheetView>
  </sheetViews>
  <sheetFormatPr baseColWidth="10" defaultColWidth="8.83203125" defaultRowHeight="15"/>
  <cols>
    <col min="1" max="1" width="11.5" customWidth="1"/>
    <col min="2" max="2" width="12.1640625" style="61" customWidth="1"/>
    <col min="4" max="4" width="17.83203125" customWidth="1"/>
    <col min="5" max="5" width="10.3320312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4279.1799999999994</v>
      </c>
    </row>
    <row r="2" spans="1:5" ht="16" customHeight="1">
      <c r="A2" t="s">
        <v>261</v>
      </c>
      <c r="B2" s="61">
        <v>3500</v>
      </c>
      <c r="D2" s="2" t="s">
        <v>788</v>
      </c>
      <c r="E2" s="99">
        <v>5450</v>
      </c>
    </row>
    <row r="3" spans="1:5" ht="16" customHeight="1">
      <c r="A3" t="s">
        <v>789</v>
      </c>
      <c r="B3" s="61">
        <v>322.8</v>
      </c>
      <c r="D3" s="2" t="s">
        <v>790</v>
      </c>
      <c r="E3" s="99">
        <f>E2-E1</f>
        <v>1170.8200000000006</v>
      </c>
    </row>
    <row r="4" spans="1:5">
      <c r="A4" t="s">
        <v>894</v>
      </c>
      <c r="B4" s="61">
        <v>15.02</v>
      </c>
    </row>
    <row r="5" spans="1:5">
      <c r="A5" t="s">
        <v>925</v>
      </c>
      <c r="B5" s="61">
        <v>150</v>
      </c>
    </row>
    <row r="6" spans="1:5">
      <c r="A6" t="s">
        <v>880</v>
      </c>
      <c r="B6" s="61">
        <v>40</v>
      </c>
    </row>
    <row r="7" spans="1:5">
      <c r="A7" t="s">
        <v>791</v>
      </c>
      <c r="B7" s="61">
        <v>18.420000000000002</v>
      </c>
    </row>
    <row r="8" spans="1:5">
      <c r="A8" t="s">
        <v>930</v>
      </c>
      <c r="B8" s="61">
        <v>20</v>
      </c>
    </row>
    <row r="9" spans="1:5">
      <c r="A9" t="s">
        <v>918</v>
      </c>
      <c r="B9" s="61">
        <v>8</v>
      </c>
    </row>
    <row r="10" spans="1:5">
      <c r="A10" t="s">
        <v>931</v>
      </c>
      <c r="B10" s="61">
        <v>9.4499999999999993</v>
      </c>
    </row>
    <row r="11" spans="1:5">
      <c r="A11" t="s">
        <v>931</v>
      </c>
      <c r="B11" s="61">
        <v>18.55</v>
      </c>
    </row>
    <row r="12" spans="1:5">
      <c r="A12" t="s">
        <v>42</v>
      </c>
      <c r="B12" s="61">
        <v>69.95</v>
      </c>
    </row>
    <row r="13" spans="1:5">
      <c r="A13" t="s">
        <v>931</v>
      </c>
      <c r="B13" s="61">
        <v>44.99</v>
      </c>
    </row>
    <row r="14" spans="1:5">
      <c r="A14" t="s">
        <v>782</v>
      </c>
      <c r="B14" s="61">
        <v>55</v>
      </c>
    </row>
    <row r="15" spans="1:5">
      <c r="A15" t="s">
        <v>918</v>
      </c>
      <c r="B15" s="61">
        <v>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20"/>
  <sheetViews>
    <sheetView workbookViewId="0">
      <selection activeCell="B19" sqref="B19"/>
    </sheetView>
  </sheetViews>
  <sheetFormatPr baseColWidth="10" defaultColWidth="8.83203125" defaultRowHeight="15"/>
  <cols>
    <col min="1" max="1" width="16" bestFit="1" customWidth="1"/>
    <col min="2" max="2" width="14.5" customWidth="1"/>
    <col min="3" max="3" width="14.6640625" customWidth="1"/>
    <col min="4" max="4" width="15.1640625" customWidth="1"/>
    <col min="5" max="5" width="12.1640625" customWidth="1"/>
  </cols>
  <sheetData>
    <row r="1" spans="1:5" ht="16" customHeight="1">
      <c r="A1" s="2" t="s">
        <v>787</v>
      </c>
      <c r="B1" s="96" t="s">
        <v>439</v>
      </c>
      <c r="D1" s="2" t="s">
        <v>922</v>
      </c>
      <c r="E1" s="104">
        <f>SUM(B:B)</f>
        <v>5494.46</v>
      </c>
    </row>
    <row r="2" spans="1:5" ht="16" customHeight="1">
      <c r="A2" t="s">
        <v>261</v>
      </c>
      <c r="B2" s="8">
        <f>4350</f>
        <v>4350</v>
      </c>
      <c r="D2" s="2" t="s">
        <v>923</v>
      </c>
      <c r="E2" s="195">
        <v>8995</v>
      </c>
    </row>
    <row r="3" spans="1:5" ht="16" customHeight="1">
      <c r="A3" t="s">
        <v>789</v>
      </c>
      <c r="B3" s="61">
        <v>346.8</v>
      </c>
      <c r="D3" s="2" t="s">
        <v>924</v>
      </c>
      <c r="E3" s="195">
        <f>E2-E1</f>
        <v>3500.54</v>
      </c>
    </row>
    <row r="4" spans="1:5">
      <c r="A4" t="s">
        <v>754</v>
      </c>
      <c r="B4" s="61">
        <v>76.69</v>
      </c>
    </row>
    <row r="5" spans="1:5">
      <c r="A5" t="s">
        <v>655</v>
      </c>
      <c r="B5" s="61">
        <v>5</v>
      </c>
    </row>
    <row r="6" spans="1:5">
      <c r="A6" t="s">
        <v>777</v>
      </c>
      <c r="B6" s="61">
        <v>300</v>
      </c>
    </row>
    <row r="7" spans="1:5">
      <c r="A7" t="s">
        <v>932</v>
      </c>
      <c r="B7" s="61">
        <v>185</v>
      </c>
    </row>
    <row r="8" spans="1:5">
      <c r="A8" t="s">
        <v>754</v>
      </c>
      <c r="B8" s="61">
        <v>7.76</v>
      </c>
    </row>
    <row r="9" spans="1:5">
      <c r="A9" t="s">
        <v>655</v>
      </c>
      <c r="B9" s="61">
        <v>20</v>
      </c>
    </row>
    <row r="10" spans="1:5">
      <c r="A10" t="s">
        <v>791</v>
      </c>
      <c r="B10" s="61">
        <v>12</v>
      </c>
    </row>
    <row r="11" spans="1:5">
      <c r="A11" t="s">
        <v>799</v>
      </c>
      <c r="B11" s="61">
        <v>8</v>
      </c>
    </row>
    <row r="12" spans="1:5">
      <c r="A12" t="s">
        <v>799</v>
      </c>
      <c r="B12" s="61">
        <v>20</v>
      </c>
    </row>
    <row r="13" spans="1:5">
      <c r="A13" t="s">
        <v>881</v>
      </c>
      <c r="B13" s="61">
        <v>9.92</v>
      </c>
    </row>
    <row r="14" spans="1:5">
      <c r="A14" t="s">
        <v>933</v>
      </c>
      <c r="B14" s="61">
        <v>24.99</v>
      </c>
    </row>
    <row r="15" spans="1:5">
      <c r="A15" t="s">
        <v>934</v>
      </c>
      <c r="B15" s="61">
        <v>-297</v>
      </c>
      <c r="C15" t="s">
        <v>935</v>
      </c>
    </row>
    <row r="16" spans="1:5">
      <c r="A16" t="s">
        <v>754</v>
      </c>
      <c r="B16" s="61">
        <v>9.9</v>
      </c>
    </row>
    <row r="17" spans="1:2">
      <c r="A17" t="s">
        <v>933</v>
      </c>
      <c r="B17" s="61">
        <v>265.39</v>
      </c>
    </row>
    <row r="18" spans="1:2">
      <c r="A18" t="s">
        <v>770</v>
      </c>
      <c r="B18" s="61">
        <v>140</v>
      </c>
    </row>
    <row r="19" spans="1:2">
      <c r="A19" t="s">
        <v>42</v>
      </c>
    </row>
    <row r="20" spans="1:2">
      <c r="A20" t="s">
        <v>754</v>
      </c>
      <c r="B20" s="61">
        <v>10.01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5"/>
  <sheetViews>
    <sheetView workbookViewId="0">
      <selection activeCell="E18" sqref="E18"/>
    </sheetView>
  </sheetViews>
  <sheetFormatPr baseColWidth="10" defaultColWidth="8.83203125" defaultRowHeight="15"/>
  <cols>
    <col min="1" max="1" width="9.83203125" bestFit="1" customWidth="1"/>
    <col min="2" max="2" width="12.1640625" customWidth="1"/>
    <col min="4" max="4" width="14.1640625" customWidth="1"/>
    <col min="5" max="5" width="14.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5437.63</v>
      </c>
    </row>
    <row r="2" spans="1:5" ht="16" customHeight="1">
      <c r="A2" s="97" t="s">
        <v>854</v>
      </c>
      <c r="B2" s="109">
        <v>4250</v>
      </c>
      <c r="C2" s="97"/>
      <c r="D2" s="2" t="s">
        <v>788</v>
      </c>
      <c r="E2" s="99">
        <v>8602</v>
      </c>
    </row>
    <row r="3" spans="1:5" ht="16" customHeight="1">
      <c r="A3" s="97" t="s">
        <v>279</v>
      </c>
      <c r="B3" s="109">
        <v>346.8</v>
      </c>
      <c r="C3" s="97"/>
      <c r="D3" s="2" t="s">
        <v>790</v>
      </c>
      <c r="E3" s="99">
        <f>E2-E1</f>
        <v>3164.37</v>
      </c>
    </row>
    <row r="4" spans="1:5">
      <c r="A4" s="97" t="s">
        <v>464</v>
      </c>
      <c r="B4" s="61">
        <v>16.2</v>
      </c>
    </row>
    <row r="5" spans="1:5">
      <c r="A5" s="97" t="s">
        <v>777</v>
      </c>
      <c r="B5" s="61">
        <v>760</v>
      </c>
      <c r="D5" s="435" t="s">
        <v>936</v>
      </c>
      <c r="E5" s="436"/>
    </row>
    <row r="6" spans="1:5" ht="16" customHeight="1">
      <c r="A6" s="97" t="s">
        <v>464</v>
      </c>
      <c r="B6" s="61">
        <v>24.63</v>
      </c>
      <c r="D6" s="2" t="s">
        <v>789</v>
      </c>
      <c r="E6" s="61">
        <v>300</v>
      </c>
    </row>
    <row r="7" spans="1:5" ht="16" customHeight="1">
      <c r="A7" s="97" t="s">
        <v>760</v>
      </c>
      <c r="B7" s="61">
        <v>40</v>
      </c>
      <c r="D7" s="2" t="s">
        <v>461</v>
      </c>
      <c r="E7" s="61">
        <v>80</v>
      </c>
    </row>
    <row r="8" spans="1:5" ht="16" customHeight="1">
      <c r="A8" s="97"/>
      <c r="B8" s="61"/>
      <c r="D8" s="2" t="s">
        <v>464</v>
      </c>
      <c r="E8" s="61">
        <v>25.93</v>
      </c>
    </row>
    <row r="9" spans="1:5">
      <c r="B9" s="61"/>
      <c r="D9" t="s">
        <v>754</v>
      </c>
      <c r="E9" s="61">
        <v>29.75</v>
      </c>
    </row>
    <row r="10" spans="1:5">
      <c r="B10" s="61"/>
    </row>
    <row r="11" spans="1:5">
      <c r="B11" s="61"/>
    </row>
    <row r="12" spans="1:5">
      <c r="B12" s="61"/>
      <c r="E12" s="61">
        <f>E6-E7-E8-E9</f>
        <v>164.32</v>
      </c>
    </row>
    <row r="13" spans="1:5">
      <c r="B13" s="61"/>
    </row>
    <row r="14" spans="1:5">
      <c r="B14" s="61"/>
    </row>
    <row r="15" spans="1:5">
      <c r="B15" s="61"/>
    </row>
  </sheetData>
  <mergeCells count="1">
    <mergeCell ref="D5:E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E12"/>
  <sheetViews>
    <sheetView workbookViewId="0">
      <selection activeCell="F22" sqref="F22"/>
    </sheetView>
  </sheetViews>
  <sheetFormatPr baseColWidth="10" defaultColWidth="14.5" defaultRowHeight="15" customHeight="1"/>
  <cols>
    <col min="3" max="3" width="18.83203125" customWidth="1"/>
  </cols>
  <sheetData>
    <row r="1" spans="1:5">
      <c r="A1" s="97" t="s">
        <v>787</v>
      </c>
      <c r="B1" s="102" t="s">
        <v>439</v>
      </c>
      <c r="C1" s="97"/>
      <c r="D1" s="2" t="s">
        <v>28</v>
      </c>
      <c r="E1" s="99">
        <f>SUM(B:B)</f>
        <v>3539.4299999999994</v>
      </c>
    </row>
    <row r="2" spans="1:5">
      <c r="A2" s="97" t="s">
        <v>854</v>
      </c>
      <c r="B2" s="102">
        <v>1500</v>
      </c>
      <c r="C2" s="97"/>
      <c r="D2" s="2" t="s">
        <v>788</v>
      </c>
      <c r="E2" s="99"/>
    </row>
    <row r="3" spans="1:5">
      <c r="A3" s="97" t="s">
        <v>876</v>
      </c>
      <c r="B3" s="102">
        <v>100</v>
      </c>
      <c r="C3" s="97"/>
      <c r="D3" s="2" t="s">
        <v>790</v>
      </c>
      <c r="E3" s="99">
        <f>E2-E1</f>
        <v>-3539.4299999999994</v>
      </c>
    </row>
    <row r="4" spans="1:5">
      <c r="A4" s="103" t="s">
        <v>937</v>
      </c>
      <c r="B4" s="107">
        <v>4.95</v>
      </c>
    </row>
    <row r="5" spans="1:5">
      <c r="A5" s="103" t="s">
        <v>876</v>
      </c>
      <c r="B5" s="107">
        <v>95</v>
      </c>
    </row>
    <row r="6" spans="1:5">
      <c r="A6" s="103" t="s">
        <v>849</v>
      </c>
      <c r="B6" s="107">
        <v>105</v>
      </c>
    </row>
    <row r="7" spans="1:5">
      <c r="A7" s="103" t="s">
        <v>754</v>
      </c>
      <c r="B7" s="107">
        <v>4.55</v>
      </c>
    </row>
    <row r="8" spans="1:5">
      <c r="A8" s="103" t="s">
        <v>655</v>
      </c>
      <c r="B8" s="107">
        <v>18</v>
      </c>
    </row>
    <row r="9" spans="1:5">
      <c r="A9" s="103" t="s">
        <v>143</v>
      </c>
      <c r="B9" s="107">
        <v>88.74</v>
      </c>
    </row>
    <row r="10" spans="1:5">
      <c r="A10" s="103" t="s">
        <v>877</v>
      </c>
      <c r="B10" s="107">
        <v>1600</v>
      </c>
    </row>
    <row r="11" spans="1:5">
      <c r="A11" s="380" t="s">
        <v>754</v>
      </c>
      <c r="B11" s="108">
        <v>6.95</v>
      </c>
    </row>
    <row r="12" spans="1:5">
      <c r="A12" s="380" t="s">
        <v>464</v>
      </c>
      <c r="B12" s="108">
        <v>16.239999999999998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E12"/>
  <sheetViews>
    <sheetView workbookViewId="0">
      <selection activeCell="A13" sqref="A13"/>
    </sheetView>
  </sheetViews>
  <sheetFormatPr baseColWidth="10" defaultColWidth="14.5" defaultRowHeight="15" customHeight="1"/>
  <cols>
    <col min="3" max="3" width="18.83203125" customWidth="1"/>
  </cols>
  <sheetData>
    <row r="1" spans="1:5">
      <c r="A1" s="97" t="s">
        <v>787</v>
      </c>
      <c r="B1" s="102" t="s">
        <v>439</v>
      </c>
      <c r="C1" s="97"/>
      <c r="D1" s="2" t="s">
        <v>28</v>
      </c>
      <c r="E1" s="99">
        <f>SUM(B:B)</f>
        <v>2639.2799999999997</v>
      </c>
    </row>
    <row r="2" spans="1:5">
      <c r="A2" s="97" t="s">
        <v>854</v>
      </c>
      <c r="B2" s="109">
        <v>1400</v>
      </c>
      <c r="C2" s="97"/>
      <c r="D2" s="2" t="s">
        <v>788</v>
      </c>
      <c r="E2" s="99">
        <v>3595</v>
      </c>
    </row>
    <row r="3" spans="1:5">
      <c r="A3" s="97" t="s">
        <v>279</v>
      </c>
      <c r="B3" s="109">
        <v>274.8</v>
      </c>
      <c r="C3" s="97"/>
      <c r="D3" s="2"/>
      <c r="E3" s="99"/>
    </row>
    <row r="4" spans="1:5">
      <c r="A4" s="97" t="s">
        <v>754</v>
      </c>
      <c r="B4" s="109">
        <v>9.91</v>
      </c>
      <c r="C4" s="97"/>
      <c r="D4" s="2" t="s">
        <v>790</v>
      </c>
      <c r="E4" s="99">
        <f>E2-E1</f>
        <v>955.72000000000025</v>
      </c>
    </row>
    <row r="5" spans="1:5">
      <c r="A5" s="103" t="s">
        <v>464</v>
      </c>
      <c r="B5" s="109">
        <v>14.25</v>
      </c>
    </row>
    <row r="6" spans="1:5">
      <c r="A6" s="380" t="s">
        <v>464</v>
      </c>
      <c r="B6" s="109">
        <v>15.15</v>
      </c>
    </row>
    <row r="7" spans="1:5">
      <c r="A7" s="380" t="s">
        <v>925</v>
      </c>
      <c r="B7" s="109">
        <v>600</v>
      </c>
    </row>
    <row r="8" spans="1:5">
      <c r="A8" s="380" t="s">
        <v>938</v>
      </c>
      <c r="B8" s="109">
        <v>200</v>
      </c>
    </row>
    <row r="9" spans="1:5">
      <c r="A9" s="380" t="s">
        <v>464</v>
      </c>
      <c r="B9" s="109">
        <v>17.5</v>
      </c>
    </row>
    <row r="10" spans="1:5">
      <c r="A10" s="380" t="s">
        <v>931</v>
      </c>
      <c r="B10" s="61">
        <v>9.9499999999999993</v>
      </c>
    </row>
    <row r="11" spans="1:5">
      <c r="A11" s="380" t="s">
        <v>754</v>
      </c>
      <c r="B11" s="109">
        <v>20</v>
      </c>
    </row>
    <row r="12" spans="1:5">
      <c r="A12" s="380" t="s">
        <v>42</v>
      </c>
      <c r="B12" s="109">
        <v>77.72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4"/>
  <sheetViews>
    <sheetView workbookViewId="0">
      <selection activeCell="E3" sqref="E3"/>
    </sheetView>
  </sheetViews>
  <sheetFormatPr baseColWidth="10" defaultColWidth="8.83203125" defaultRowHeight="15"/>
  <cols>
    <col min="1" max="1" width="8.33203125" bestFit="1" customWidth="1"/>
    <col min="2" max="2" width="13.83203125" customWidth="1"/>
    <col min="4" max="4" width="18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200</v>
      </c>
    </row>
    <row r="2" spans="1:5" ht="16" customHeight="1">
      <c r="A2" s="97" t="s">
        <v>939</v>
      </c>
      <c r="B2" s="109">
        <v>200</v>
      </c>
      <c r="C2" s="97"/>
      <c r="D2" s="2" t="s">
        <v>788</v>
      </c>
      <c r="E2" s="99">
        <v>500</v>
      </c>
    </row>
    <row r="3" spans="1:5">
      <c r="A3" s="97"/>
      <c r="B3" s="109"/>
      <c r="C3" s="97"/>
      <c r="D3" s="2"/>
      <c r="E3" s="99"/>
    </row>
    <row r="4" spans="1:5" ht="16" customHeight="1">
      <c r="A4" s="97"/>
      <c r="B4" s="109"/>
      <c r="C4" s="97"/>
      <c r="D4" s="2" t="s">
        <v>790</v>
      </c>
      <c r="E4" s="99">
        <f>E2-E1</f>
        <v>300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7"/>
  <sheetViews>
    <sheetView workbookViewId="0">
      <selection activeCell="L32" sqref="L32"/>
    </sheetView>
  </sheetViews>
  <sheetFormatPr baseColWidth="10" defaultColWidth="8.83203125" defaultRowHeight="15"/>
  <cols>
    <col min="1" max="1" width="10.83203125" bestFit="1" customWidth="1"/>
    <col min="2" max="2" width="10.33203125" bestFit="1" customWidth="1"/>
    <col min="4" max="4" width="15.1640625" customWidth="1"/>
    <col min="5" max="5" width="14.5" customWidth="1"/>
  </cols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SUM(B$3:B$1048576)</f>
        <v>783.6099999999999</v>
      </c>
    </row>
    <row r="2" spans="1:5" ht="16" customHeight="1">
      <c r="A2" t="s">
        <v>940</v>
      </c>
      <c r="B2" s="61">
        <v>700</v>
      </c>
      <c r="D2" s="2" t="s">
        <v>788</v>
      </c>
      <c r="E2" s="99">
        <v>2950</v>
      </c>
    </row>
    <row r="3" spans="1:5" ht="16" customHeight="1">
      <c r="A3" t="s">
        <v>464</v>
      </c>
      <c r="B3" s="61">
        <v>18.07</v>
      </c>
      <c r="D3" s="2" t="s">
        <v>790</v>
      </c>
      <c r="E3" s="99">
        <f>E2-E1</f>
        <v>2166.3900000000003</v>
      </c>
    </row>
    <row r="4" spans="1:5">
      <c r="A4" t="s">
        <v>464</v>
      </c>
      <c r="B4" s="61">
        <v>21.45</v>
      </c>
    </row>
    <row r="5" spans="1:5">
      <c r="A5" t="s">
        <v>655</v>
      </c>
      <c r="B5" s="61">
        <v>15</v>
      </c>
    </row>
    <row r="6" spans="1:5">
      <c r="A6" t="s">
        <v>464</v>
      </c>
      <c r="B6" s="61">
        <v>19.89</v>
      </c>
    </row>
    <row r="7" spans="1:5">
      <c r="A7" t="s">
        <v>941</v>
      </c>
      <c r="B7" s="61">
        <v>18.86</v>
      </c>
    </row>
    <row r="8" spans="1:5">
      <c r="A8" t="s">
        <v>802</v>
      </c>
      <c r="B8" s="61">
        <v>7.3</v>
      </c>
    </row>
    <row r="9" spans="1:5">
      <c r="A9" t="s">
        <v>925</v>
      </c>
      <c r="B9" s="61">
        <v>270</v>
      </c>
    </row>
    <row r="10" spans="1:5">
      <c r="A10" t="s">
        <v>925</v>
      </c>
      <c r="B10" s="61">
        <v>400</v>
      </c>
    </row>
    <row r="11" spans="1:5">
      <c r="A11" t="s">
        <v>863</v>
      </c>
      <c r="B11" s="61">
        <v>8</v>
      </c>
    </row>
    <row r="12" spans="1:5">
      <c r="A12" t="s">
        <v>754</v>
      </c>
      <c r="B12" s="61">
        <v>5.04</v>
      </c>
    </row>
    <row r="13" spans="1:5">
      <c r="B13" s="61"/>
    </row>
    <row r="14" spans="1:5">
      <c r="B14" s="61"/>
    </row>
    <row r="15" spans="1:5">
      <c r="B15" s="61"/>
    </row>
    <row r="16" spans="1:5">
      <c r="B16" s="61"/>
    </row>
    <row r="17" spans="2:2">
      <c r="B17" s="61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E13"/>
  <sheetViews>
    <sheetView workbookViewId="0">
      <selection activeCell="C26" sqref="C26"/>
    </sheetView>
  </sheetViews>
  <sheetFormatPr baseColWidth="10" defaultColWidth="14.5" defaultRowHeight="15" customHeight="1"/>
  <sheetData>
    <row r="1" spans="1:5" ht="16" customHeight="1">
      <c r="A1" s="97" t="s">
        <v>787</v>
      </c>
      <c r="B1" s="102" t="s">
        <v>439</v>
      </c>
      <c r="C1" s="97"/>
      <c r="D1" s="2" t="s">
        <v>28</v>
      </c>
      <c r="E1" s="99">
        <f>SUM(B:B)</f>
        <v>4895.8000000000011</v>
      </c>
    </row>
    <row r="2" spans="1:5" ht="16" customHeight="1">
      <c r="A2" s="97" t="s">
        <v>854</v>
      </c>
      <c r="B2" s="102">
        <v>4252.51</v>
      </c>
      <c r="C2" s="97"/>
      <c r="D2" s="2" t="s">
        <v>788</v>
      </c>
      <c r="E2" s="99">
        <v>7295</v>
      </c>
    </row>
    <row r="3" spans="1:5" ht="16" customHeight="1">
      <c r="A3" s="97" t="s">
        <v>279</v>
      </c>
      <c r="B3" s="102">
        <v>346.8</v>
      </c>
      <c r="C3" s="97"/>
      <c r="D3" s="2" t="s">
        <v>790</v>
      </c>
      <c r="E3" s="99">
        <f>E2-E1</f>
        <v>2399.1999999999989</v>
      </c>
    </row>
    <row r="4" spans="1:5" ht="16" customHeight="1">
      <c r="A4" s="103" t="s">
        <v>464</v>
      </c>
      <c r="B4" s="102">
        <v>14.27</v>
      </c>
      <c r="D4" s="2" t="s">
        <v>33</v>
      </c>
      <c r="E4" s="163">
        <f>E3/2</f>
        <v>1199.5999999999995</v>
      </c>
    </row>
    <row r="5" spans="1:5" ht="15" customHeight="1">
      <c r="A5" s="380" t="s">
        <v>655</v>
      </c>
      <c r="B5" s="102">
        <v>30</v>
      </c>
    </row>
    <row r="6" spans="1:5" ht="15" customHeight="1">
      <c r="A6" s="380" t="s">
        <v>464</v>
      </c>
      <c r="B6" s="102">
        <v>18.3</v>
      </c>
    </row>
    <row r="7" spans="1:5" ht="15" customHeight="1">
      <c r="A7" s="380" t="s">
        <v>942</v>
      </c>
      <c r="B7" s="102">
        <v>21.79</v>
      </c>
    </row>
    <row r="8" spans="1:5" ht="15" customHeight="1">
      <c r="A8" s="380" t="s">
        <v>943</v>
      </c>
      <c r="B8" s="102">
        <v>21.6</v>
      </c>
    </row>
    <row r="9" spans="1:5" ht="15" customHeight="1">
      <c r="A9" s="380" t="s">
        <v>464</v>
      </c>
      <c r="B9" s="102">
        <v>18.3</v>
      </c>
    </row>
    <row r="10" spans="1:5" ht="15" customHeight="1">
      <c r="A10" s="380" t="s">
        <v>655</v>
      </c>
      <c r="B10" s="102">
        <v>15</v>
      </c>
    </row>
    <row r="11" spans="1:5" ht="15" customHeight="1">
      <c r="A11" s="380" t="s">
        <v>881</v>
      </c>
      <c r="B11" s="102">
        <v>7.28</v>
      </c>
    </row>
    <row r="12" spans="1:5" ht="15" customHeight="1">
      <c r="A12" s="380" t="s">
        <v>42</v>
      </c>
      <c r="B12" s="102">
        <v>69.95</v>
      </c>
    </row>
    <row r="13" spans="1:5" ht="15" customHeight="1">
      <c r="A13" s="380" t="s">
        <v>944</v>
      </c>
      <c r="B13" s="102">
        <v>80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E35"/>
  <sheetViews>
    <sheetView workbookViewId="0">
      <selection activeCell="E1" sqref="E1"/>
    </sheetView>
  </sheetViews>
  <sheetFormatPr baseColWidth="10" defaultColWidth="12.1640625" defaultRowHeight="15.75" customHeight="1"/>
  <cols>
    <col min="1" max="2" width="12.1640625" style="116" customWidth="1"/>
    <col min="3" max="3" width="16.33203125" style="116" customWidth="1"/>
    <col min="4" max="4" width="12.1640625" style="116" customWidth="1"/>
    <col min="5" max="16384" width="12.1640625" style="116"/>
  </cols>
  <sheetData>
    <row r="1" spans="1:5" ht="15.75" customHeight="1">
      <c r="A1" s="166" t="s">
        <v>787</v>
      </c>
      <c r="B1" s="167" t="s">
        <v>439</v>
      </c>
      <c r="C1" s="166"/>
      <c r="D1" s="168" t="s">
        <v>28</v>
      </c>
      <c r="E1" s="169">
        <f>SUM(B:B)</f>
        <v>2575.9999999999995</v>
      </c>
    </row>
    <row r="2" spans="1:5" ht="15.75" customHeight="1">
      <c r="A2" s="166" t="s">
        <v>854</v>
      </c>
      <c r="B2" s="167">
        <v>1500</v>
      </c>
      <c r="C2" s="166"/>
      <c r="D2" s="168" t="s">
        <v>788</v>
      </c>
      <c r="E2" s="169">
        <v>3900</v>
      </c>
    </row>
    <row r="3" spans="1:5" ht="15.75" customHeight="1">
      <c r="A3" s="166" t="s">
        <v>279</v>
      </c>
      <c r="B3" s="167">
        <v>274.8</v>
      </c>
      <c r="C3" s="166"/>
      <c r="D3" s="168" t="s">
        <v>790</v>
      </c>
      <c r="E3" s="169">
        <f>E2-E1</f>
        <v>1324.0000000000005</v>
      </c>
    </row>
    <row r="4" spans="1:5" ht="15.75" customHeight="1">
      <c r="A4" s="118" t="s">
        <v>777</v>
      </c>
      <c r="B4" s="117">
        <v>120</v>
      </c>
    </row>
    <row r="5" spans="1:5" ht="15.75" customHeight="1">
      <c r="A5" s="118" t="s">
        <v>450</v>
      </c>
      <c r="B5" s="117">
        <v>51.3</v>
      </c>
    </row>
    <row r="6" spans="1:5" ht="15.75" customHeight="1">
      <c r="A6" s="118" t="s">
        <v>945</v>
      </c>
      <c r="B6" s="117">
        <v>53.3</v>
      </c>
    </row>
    <row r="7" spans="1:5" ht="15.75" customHeight="1">
      <c r="A7" s="118" t="s">
        <v>464</v>
      </c>
      <c r="B7" s="117">
        <v>20.52</v>
      </c>
    </row>
    <row r="8" spans="1:5" ht="15.75" customHeight="1">
      <c r="A8" s="118" t="s">
        <v>754</v>
      </c>
      <c r="B8" s="117">
        <v>20.010000000000002</v>
      </c>
    </row>
    <row r="9" spans="1:5" ht="15.75" customHeight="1">
      <c r="A9" s="118" t="s">
        <v>760</v>
      </c>
      <c r="B9" s="117">
        <v>40</v>
      </c>
    </row>
    <row r="10" spans="1:5" ht="15.75" customHeight="1">
      <c r="A10" s="118" t="s">
        <v>433</v>
      </c>
      <c r="B10" s="117">
        <v>50</v>
      </c>
    </row>
    <row r="11" spans="1:5" ht="15.75" customHeight="1">
      <c r="A11" s="118" t="s">
        <v>777</v>
      </c>
      <c r="B11" s="117">
        <v>120</v>
      </c>
    </row>
    <row r="12" spans="1:5" ht="15.75" customHeight="1">
      <c r="A12" s="118" t="s">
        <v>464</v>
      </c>
      <c r="B12" s="117">
        <v>18.600000000000001</v>
      </c>
    </row>
    <row r="13" spans="1:5" ht="14" customHeight="1">
      <c r="A13" s="118" t="s">
        <v>464</v>
      </c>
      <c r="B13" s="117">
        <v>15.24</v>
      </c>
    </row>
    <row r="14" spans="1:5" ht="14" customHeight="1">
      <c r="A14" s="118" t="s">
        <v>464</v>
      </c>
      <c r="B14" s="117">
        <v>15.88</v>
      </c>
    </row>
    <row r="15" spans="1:5" ht="14" customHeight="1">
      <c r="A15" s="118" t="s">
        <v>464</v>
      </c>
      <c r="B15" s="117">
        <v>15.85</v>
      </c>
    </row>
    <row r="16" spans="1:5" ht="14" customHeight="1">
      <c r="A16" s="118" t="s">
        <v>946</v>
      </c>
      <c r="B16" s="117">
        <v>100</v>
      </c>
    </row>
    <row r="17" spans="1:3" ht="14" customHeight="1">
      <c r="A17" s="118" t="s">
        <v>546</v>
      </c>
      <c r="B17" s="117">
        <v>70.739999999999995</v>
      </c>
      <c r="C17" s="119" t="s">
        <v>947</v>
      </c>
    </row>
    <row r="18" spans="1:3" ht="14" customHeight="1">
      <c r="A18" s="118" t="s">
        <v>655</v>
      </c>
      <c r="B18" s="117">
        <v>25</v>
      </c>
    </row>
    <row r="19" spans="1:3" ht="14" customHeight="1">
      <c r="A19" s="118" t="s">
        <v>42</v>
      </c>
      <c r="B19" s="117">
        <v>64.760000000000005</v>
      </c>
    </row>
    <row r="20" spans="1:3" ht="14" customHeight="1">
      <c r="A20" s="118"/>
      <c r="B20" s="117"/>
    </row>
    <row r="21" spans="1:3" ht="14" customHeight="1">
      <c r="A21" s="118"/>
      <c r="B21" s="117"/>
    </row>
    <row r="22" spans="1:3" ht="14" customHeight="1">
      <c r="A22" s="118"/>
      <c r="B22" s="117"/>
    </row>
    <row r="23" spans="1:3" ht="14" customHeight="1">
      <c r="A23" s="118"/>
      <c r="B23" s="117"/>
    </row>
    <row r="24" spans="1:3" ht="14" customHeight="1">
      <c r="A24" s="118"/>
      <c r="B24" s="117"/>
    </row>
    <row r="25" spans="1:3" ht="14" customHeight="1">
      <c r="A25" s="118"/>
      <c r="B25" s="117"/>
    </row>
    <row r="26" spans="1:3" ht="14" customHeight="1">
      <c r="A26" s="118"/>
      <c r="B26" s="117"/>
    </row>
    <row r="27" spans="1:3" ht="14" customHeight="1">
      <c r="A27" s="118"/>
      <c r="B27" s="117"/>
    </row>
    <row r="28" spans="1:3" ht="14" customHeight="1">
      <c r="A28" s="118"/>
      <c r="B28" s="117"/>
    </row>
    <row r="29" spans="1:3" ht="14" customHeight="1">
      <c r="A29" s="118"/>
      <c r="B29" s="117"/>
    </row>
    <row r="30" spans="1:3" ht="14" customHeight="1">
      <c r="A30" s="118"/>
      <c r="B30" s="117"/>
    </row>
    <row r="31" spans="1:3" ht="14" customHeight="1">
      <c r="A31" s="118"/>
      <c r="B31" s="117"/>
    </row>
    <row r="32" spans="1:3" ht="14" customHeight="1">
      <c r="B32" s="117"/>
    </row>
    <row r="33" spans="2:2" ht="14" customHeight="1">
      <c r="B33" s="117"/>
    </row>
    <row r="34" spans="2:2" ht="14" customHeight="1">
      <c r="B34" s="117"/>
    </row>
    <row r="35" spans="2:2" ht="14" customHeight="1">
      <c r="B35" s="117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H21"/>
  <sheetViews>
    <sheetView workbookViewId="0">
      <selection activeCell="L26" sqref="L26"/>
    </sheetView>
  </sheetViews>
  <sheetFormatPr baseColWidth="10" defaultColWidth="14.5" defaultRowHeight="15" customHeight="1"/>
  <sheetData>
    <row r="1" spans="1:8">
      <c r="A1" s="97" t="s">
        <v>787</v>
      </c>
      <c r="B1" s="102" t="s">
        <v>439</v>
      </c>
      <c r="C1" s="97"/>
      <c r="D1" s="2" t="s">
        <v>28</v>
      </c>
      <c r="E1" s="99">
        <f>SUM(B:B)</f>
        <v>8361.5099999999984</v>
      </c>
      <c r="G1" t="s">
        <v>948</v>
      </c>
      <c r="H1" t="s">
        <v>949</v>
      </c>
    </row>
    <row r="2" spans="1:8">
      <c r="A2" s="97" t="s">
        <v>854</v>
      </c>
      <c r="B2" s="200">
        <v>4250</v>
      </c>
      <c r="C2" s="97"/>
      <c r="D2" s="2" t="s">
        <v>788</v>
      </c>
      <c r="E2" s="99">
        <v>8295</v>
      </c>
      <c r="G2" t="s">
        <v>950</v>
      </c>
      <c r="H2" s="195">
        <v>1500</v>
      </c>
    </row>
    <row r="3" spans="1:8">
      <c r="A3" s="97" t="s">
        <v>279</v>
      </c>
      <c r="B3" s="200">
        <v>322.8</v>
      </c>
      <c r="C3" s="97"/>
      <c r="D3" s="2" t="s">
        <v>790</v>
      </c>
      <c r="E3" s="99">
        <f>E2-E1</f>
        <v>-66.509999999998399</v>
      </c>
    </row>
    <row r="4" spans="1:8">
      <c r="A4" s="103" t="s">
        <v>876</v>
      </c>
      <c r="B4" s="200">
        <v>400</v>
      </c>
      <c r="C4" s="103"/>
      <c r="D4" s="103"/>
      <c r="E4" s="103"/>
    </row>
    <row r="5" spans="1:8">
      <c r="A5" s="103" t="s">
        <v>450</v>
      </c>
      <c r="B5" s="226">
        <v>17.2</v>
      </c>
      <c r="C5" s="103"/>
      <c r="D5" s="103"/>
      <c r="E5" s="103"/>
    </row>
    <row r="6" spans="1:8">
      <c r="A6" s="103" t="s">
        <v>452</v>
      </c>
      <c r="B6" s="226">
        <v>3.1</v>
      </c>
      <c r="C6" s="103"/>
      <c r="D6" s="103"/>
      <c r="E6" s="103"/>
    </row>
    <row r="7" spans="1:8">
      <c r="A7" s="380" t="s">
        <v>877</v>
      </c>
      <c r="B7" s="227">
        <v>3200</v>
      </c>
    </row>
    <row r="8" spans="1:8">
      <c r="A8" s="380" t="s">
        <v>760</v>
      </c>
      <c r="B8" s="227">
        <v>40</v>
      </c>
    </row>
    <row r="9" spans="1:8">
      <c r="A9" s="380" t="s">
        <v>464</v>
      </c>
      <c r="B9" s="227">
        <v>21.98</v>
      </c>
    </row>
    <row r="10" spans="1:8">
      <c r="A10" s="380" t="s">
        <v>791</v>
      </c>
      <c r="B10" s="227">
        <v>15.21</v>
      </c>
    </row>
    <row r="11" spans="1:8">
      <c r="A11" s="380" t="s">
        <v>799</v>
      </c>
      <c r="B11" s="195">
        <v>12</v>
      </c>
    </row>
    <row r="12" spans="1:8">
      <c r="A12" s="380" t="s">
        <v>798</v>
      </c>
      <c r="B12" s="227">
        <v>1.5</v>
      </c>
    </row>
    <row r="13" spans="1:8">
      <c r="A13" s="380" t="s">
        <v>42</v>
      </c>
      <c r="B13" s="195">
        <v>77.72</v>
      </c>
    </row>
    <row r="14" spans="1:8">
      <c r="B14" s="195"/>
    </row>
    <row r="15" spans="1:8">
      <c r="B15" s="195"/>
    </row>
    <row r="16" spans="1:8">
      <c r="B16" s="195"/>
    </row>
    <row r="17" spans="2:2">
      <c r="B17" s="195"/>
    </row>
    <row r="18" spans="2:2">
      <c r="B18" s="195"/>
    </row>
    <row r="19" spans="2:2">
      <c r="B19" s="195"/>
    </row>
    <row r="20" spans="2:2">
      <c r="B20" s="195"/>
    </row>
    <row r="21" spans="2:2">
      <c r="B21" s="195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7"/>
  <sheetViews>
    <sheetView workbookViewId="0">
      <selection activeCell="B7" sqref="B7"/>
    </sheetView>
  </sheetViews>
  <sheetFormatPr baseColWidth="10" defaultColWidth="8.83203125" defaultRowHeight="15"/>
  <cols>
    <col min="1" max="1" width="14.5" customWidth="1"/>
    <col min="2" max="2" width="15.1640625" customWidth="1"/>
    <col min="4" max="4" width="16.33203125" customWidth="1"/>
    <col min="5" max="5" width="17.5" customWidth="1"/>
    <col min="6" max="6" width="16.6640625" bestFit="1" customWidth="1"/>
  </cols>
  <sheetData>
    <row r="1" spans="1:6" ht="16" customHeight="1">
      <c r="A1" s="2" t="s">
        <v>787</v>
      </c>
      <c r="B1" s="96" t="s">
        <v>439</v>
      </c>
      <c r="D1" s="2" t="s">
        <v>922</v>
      </c>
      <c r="E1" s="104">
        <f>SUM(B:B)</f>
        <v>5477.2300000000005</v>
      </c>
    </row>
    <row r="2" spans="1:6" ht="16" customHeight="1">
      <c r="A2" t="s">
        <v>951</v>
      </c>
      <c r="B2" s="8">
        <v>5075</v>
      </c>
      <c r="D2" s="2" t="s">
        <v>923</v>
      </c>
      <c r="E2" s="104"/>
    </row>
    <row r="3" spans="1:6">
      <c r="A3" t="s">
        <v>789</v>
      </c>
      <c r="B3" s="106">
        <v>346.8</v>
      </c>
      <c r="D3" s="2"/>
      <c r="E3" s="104"/>
    </row>
    <row r="4" spans="1:6" ht="16" customHeight="1">
      <c r="A4" t="s">
        <v>952</v>
      </c>
      <c r="B4" s="61">
        <v>10.5</v>
      </c>
      <c r="D4" s="2" t="s">
        <v>924</v>
      </c>
      <c r="E4" s="104"/>
    </row>
    <row r="5" spans="1:6">
      <c r="A5" t="s">
        <v>881</v>
      </c>
      <c r="B5" s="61">
        <v>14.93</v>
      </c>
    </row>
    <row r="6" spans="1:6">
      <c r="A6" t="s">
        <v>655</v>
      </c>
      <c r="B6" s="61">
        <v>20</v>
      </c>
    </row>
    <row r="7" spans="1:6">
      <c r="A7" t="s">
        <v>655</v>
      </c>
      <c r="B7" s="61">
        <v>10</v>
      </c>
      <c r="F7" t="s">
        <v>953</v>
      </c>
    </row>
    <row r="8" spans="1:6">
      <c r="B8" s="61"/>
    </row>
    <row r="9" spans="1:6">
      <c r="B9" s="61"/>
    </row>
    <row r="10" spans="1:6">
      <c r="B10" s="61"/>
    </row>
    <row r="11" spans="1:6">
      <c r="B11" s="61"/>
    </row>
    <row r="12" spans="1:6">
      <c r="B12" s="61"/>
    </row>
    <row r="13" spans="1:6">
      <c r="B13" s="61"/>
    </row>
    <row r="14" spans="1:6">
      <c r="B14" s="61"/>
    </row>
    <row r="15" spans="1:6">
      <c r="B15" s="61"/>
    </row>
    <row r="16" spans="1:6">
      <c r="B16" s="61"/>
    </row>
    <row r="17" spans="2:2">
      <c r="B17" s="61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13"/>
  <sheetViews>
    <sheetView workbookViewId="0">
      <selection activeCell="Q31" sqref="Q31"/>
    </sheetView>
  </sheetViews>
  <sheetFormatPr baseColWidth="10" defaultColWidth="8.83203125" defaultRowHeight="15"/>
  <cols>
    <col min="1" max="5" width="15.5" customWidth="1"/>
    <col min="7" max="7" width="30" customWidth="1"/>
  </cols>
  <sheetData>
    <row r="1" spans="1:7" ht="16" customHeight="1">
      <c r="A1" s="2" t="s">
        <v>787</v>
      </c>
      <c r="B1" s="96" t="s">
        <v>439</v>
      </c>
      <c r="D1" s="2" t="s">
        <v>922</v>
      </c>
      <c r="E1" s="104">
        <f>SUM(B:B)</f>
        <v>4390.79</v>
      </c>
    </row>
    <row r="2" spans="1:7" ht="16" customHeight="1">
      <c r="A2" t="s">
        <v>261</v>
      </c>
      <c r="B2" s="8">
        <v>3500</v>
      </c>
      <c r="D2" s="2" t="s">
        <v>923</v>
      </c>
      <c r="E2" s="195">
        <v>7250</v>
      </c>
    </row>
    <row r="3" spans="1:7" ht="16" customHeight="1">
      <c r="A3" t="s">
        <v>464</v>
      </c>
      <c r="B3" s="61">
        <v>17.66</v>
      </c>
      <c r="D3" s="2" t="s">
        <v>924</v>
      </c>
      <c r="E3" s="195">
        <f>E2-E1</f>
        <v>2859.21</v>
      </c>
    </row>
    <row r="4" spans="1:7">
      <c r="A4" t="s">
        <v>873</v>
      </c>
      <c r="B4" s="61">
        <v>640</v>
      </c>
    </row>
    <row r="5" spans="1:7">
      <c r="A5" t="s">
        <v>465</v>
      </c>
      <c r="B5" s="61">
        <v>40</v>
      </c>
      <c r="F5" t="s">
        <v>885</v>
      </c>
      <c r="G5" s="195">
        <v>70</v>
      </c>
    </row>
    <row r="6" spans="1:7">
      <c r="A6" t="s">
        <v>655</v>
      </c>
      <c r="B6" s="61">
        <v>30</v>
      </c>
      <c r="F6" t="s">
        <v>754</v>
      </c>
      <c r="G6" s="61">
        <v>9.1199999999999992</v>
      </c>
    </row>
    <row r="7" spans="1:7">
      <c r="A7" t="s">
        <v>464</v>
      </c>
      <c r="B7" s="61">
        <v>17.12</v>
      </c>
      <c r="G7" s="195"/>
    </row>
    <row r="8" spans="1:7">
      <c r="A8" t="s">
        <v>954</v>
      </c>
      <c r="B8" s="61">
        <v>2.88</v>
      </c>
      <c r="G8" s="195">
        <f>G5-G6</f>
        <v>60.88</v>
      </c>
    </row>
    <row r="9" spans="1:7">
      <c r="A9" t="s">
        <v>655</v>
      </c>
      <c r="B9" s="61">
        <v>8</v>
      </c>
    </row>
    <row r="10" spans="1:7">
      <c r="A10" t="s">
        <v>863</v>
      </c>
      <c r="B10" s="61">
        <v>8</v>
      </c>
    </row>
    <row r="11" spans="1:7">
      <c r="A11" t="s">
        <v>754</v>
      </c>
      <c r="B11" s="61">
        <v>9.41</v>
      </c>
    </row>
    <row r="12" spans="1:7">
      <c r="A12" t="s">
        <v>760</v>
      </c>
      <c r="B12" s="61">
        <v>40</v>
      </c>
    </row>
    <row r="13" spans="1:7">
      <c r="A13" t="s">
        <v>42</v>
      </c>
      <c r="B13" s="61">
        <v>77.72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E20"/>
  <sheetViews>
    <sheetView workbookViewId="0">
      <selection activeCell="C20" sqref="C20"/>
    </sheetView>
  </sheetViews>
  <sheetFormatPr baseColWidth="10" defaultColWidth="14.5" defaultRowHeight="15" customHeight="1"/>
  <cols>
    <col min="1" max="5" width="17" customWidth="1"/>
    <col min="6" max="6" width="14.5" customWidth="1"/>
  </cols>
  <sheetData>
    <row r="1" spans="1:5" ht="16" customHeight="1">
      <c r="A1" s="2" t="s">
        <v>787</v>
      </c>
      <c r="B1" s="96" t="s">
        <v>439</v>
      </c>
      <c r="C1" s="2"/>
      <c r="D1" s="2" t="s">
        <v>28</v>
      </c>
      <c r="E1" s="99">
        <f>SUM(B:B)</f>
        <v>3556.6099999999997</v>
      </c>
    </row>
    <row r="2" spans="1:5" ht="16" customHeight="1">
      <c r="A2" s="2" t="s">
        <v>854</v>
      </c>
      <c r="B2" s="96">
        <v>2250</v>
      </c>
      <c r="C2" s="2" t="s">
        <v>955</v>
      </c>
      <c r="D2" s="2" t="s">
        <v>788</v>
      </c>
      <c r="E2" s="99">
        <v>3815</v>
      </c>
    </row>
    <row r="3" spans="1:5" ht="16" customHeight="1">
      <c r="A3" s="2" t="s">
        <v>464</v>
      </c>
      <c r="B3" s="96">
        <v>80.23</v>
      </c>
      <c r="C3" s="2"/>
      <c r="D3" s="2" t="s">
        <v>790</v>
      </c>
      <c r="E3" s="99">
        <f>E2-E1</f>
        <v>258.39000000000033</v>
      </c>
    </row>
    <row r="4" spans="1:5" ht="16" customHeight="1">
      <c r="A4" s="2" t="s">
        <v>956</v>
      </c>
      <c r="B4" s="96">
        <f>15.49+8.53</f>
        <v>24.02</v>
      </c>
      <c r="C4" s="2"/>
      <c r="D4" s="2"/>
      <c r="E4" s="2"/>
    </row>
    <row r="5" spans="1:5" ht="16" customHeight="1">
      <c r="A5" s="2" t="s">
        <v>957</v>
      </c>
      <c r="B5" s="96">
        <v>350</v>
      </c>
      <c r="C5" s="2" t="s">
        <v>955</v>
      </c>
      <c r="D5" s="2"/>
      <c r="E5" s="2"/>
    </row>
    <row r="6" spans="1:5" ht="16" customHeight="1">
      <c r="A6" s="2" t="s">
        <v>958</v>
      </c>
      <c r="B6" s="96">
        <v>14.99</v>
      </c>
      <c r="C6" s="2"/>
      <c r="D6" s="2"/>
      <c r="E6" s="2"/>
    </row>
    <row r="7" spans="1:5" ht="16" customHeight="1">
      <c r="A7" s="2" t="s">
        <v>770</v>
      </c>
      <c r="B7" s="96">
        <v>400</v>
      </c>
      <c r="C7" s="2" t="s">
        <v>955</v>
      </c>
      <c r="D7" s="2"/>
      <c r="E7" s="2"/>
    </row>
    <row r="8" spans="1:5" ht="16" customHeight="1">
      <c r="A8" s="2" t="s">
        <v>491</v>
      </c>
      <c r="B8" s="96">
        <v>4.95</v>
      </c>
      <c r="C8" s="2"/>
      <c r="D8" s="2"/>
      <c r="E8" s="2"/>
    </row>
    <row r="9" spans="1:5" ht="16" customHeight="1">
      <c r="A9" s="2" t="s">
        <v>959</v>
      </c>
      <c r="B9" s="96">
        <v>180</v>
      </c>
      <c r="C9" s="2" t="s">
        <v>955</v>
      </c>
      <c r="D9" s="2"/>
      <c r="E9" s="96">
        <f>SUM(B2,B5,B7,B9)+E3*0.4</f>
        <v>3283.3560000000002</v>
      </c>
    </row>
    <row r="10" spans="1:5" ht="16" customHeight="1">
      <c r="A10" s="2" t="s">
        <v>546</v>
      </c>
      <c r="B10" s="96">
        <v>70.739999999999995</v>
      </c>
      <c r="C10" s="2"/>
      <c r="D10" s="2"/>
      <c r="E10" s="2"/>
    </row>
    <row r="11" spans="1:5" ht="16" customHeight="1">
      <c r="A11" s="2" t="s">
        <v>956</v>
      </c>
      <c r="B11" s="96">
        <v>15.07</v>
      </c>
      <c r="C11" s="2"/>
      <c r="D11" s="2"/>
      <c r="E11" s="2"/>
    </row>
    <row r="12" spans="1:5" ht="16" customHeight="1">
      <c r="A12" s="2" t="s">
        <v>464</v>
      </c>
      <c r="B12" s="96">
        <v>17.12</v>
      </c>
      <c r="C12" s="2" t="s">
        <v>489</v>
      </c>
      <c r="D12" s="2"/>
      <c r="E12" s="2"/>
    </row>
    <row r="13" spans="1:5">
      <c r="A13" s="97" t="s">
        <v>754</v>
      </c>
      <c r="B13" s="102">
        <v>4.96</v>
      </c>
      <c r="C13" s="97"/>
      <c r="D13" s="97"/>
      <c r="E13" s="97"/>
    </row>
    <row r="14" spans="1:5">
      <c r="A14" s="97" t="s">
        <v>655</v>
      </c>
      <c r="B14" s="102">
        <v>10</v>
      </c>
      <c r="C14" s="97"/>
      <c r="D14" s="97"/>
      <c r="E14" s="97"/>
    </row>
    <row r="15" spans="1:5" ht="15" customHeight="1">
      <c r="A15" s="2" t="s">
        <v>960</v>
      </c>
      <c r="B15" s="96">
        <v>15.46</v>
      </c>
    </row>
    <row r="16" spans="1:5" ht="15" customHeight="1">
      <c r="A16" s="2" t="s">
        <v>791</v>
      </c>
      <c r="B16" s="96">
        <v>5.07</v>
      </c>
    </row>
    <row r="17" spans="1:2" ht="15" customHeight="1">
      <c r="A17" s="2" t="s">
        <v>961</v>
      </c>
      <c r="B17" s="96">
        <v>40</v>
      </c>
    </row>
    <row r="18" spans="1:2" ht="15" customHeight="1">
      <c r="A18" s="2" t="s">
        <v>962</v>
      </c>
      <c r="B18" s="96">
        <v>50</v>
      </c>
    </row>
    <row r="19" spans="1:2" ht="15" customHeight="1">
      <c r="A19" s="2" t="s">
        <v>754</v>
      </c>
      <c r="B19" s="96">
        <v>4</v>
      </c>
    </row>
    <row r="20" spans="1:2" ht="15" customHeight="1">
      <c r="A20" s="2" t="s">
        <v>843</v>
      </c>
      <c r="B20" s="96">
        <v>20</v>
      </c>
    </row>
  </sheetData>
  <pageMargins left="0.7" right="0.7" top="0.75" bottom="0.75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1000"/>
  <sheetViews>
    <sheetView workbookViewId="0">
      <selection activeCell="B28" sqref="B28"/>
    </sheetView>
  </sheetViews>
  <sheetFormatPr baseColWidth="10" defaultColWidth="14.5" defaultRowHeight="15" customHeight="1"/>
  <cols>
    <col min="1" max="5" width="17" customWidth="1"/>
    <col min="6" max="25" width="8.83203125" customWidth="1"/>
  </cols>
  <sheetData>
    <row r="1" spans="1:26" ht="16" customHeight="1">
      <c r="A1" s="2" t="s">
        <v>787</v>
      </c>
      <c r="B1" s="96" t="s">
        <v>439</v>
      </c>
      <c r="C1" s="2"/>
      <c r="D1" s="2" t="s">
        <v>922</v>
      </c>
      <c r="E1" s="96">
        <f>SUM(B:B)</f>
        <v>6737.99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6" customHeight="1">
      <c r="A2" s="2" t="s">
        <v>854</v>
      </c>
      <c r="B2" s="98">
        <v>2000</v>
      </c>
      <c r="C2" s="2"/>
      <c r="D2" s="2" t="s">
        <v>923</v>
      </c>
      <c r="E2" s="99">
        <v>9994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6" customHeight="1">
      <c r="A3" s="2" t="s">
        <v>876</v>
      </c>
      <c r="B3" s="98">
        <v>220</v>
      </c>
      <c r="C3" s="2"/>
      <c r="D3" s="2" t="s">
        <v>924</v>
      </c>
      <c r="E3" s="99">
        <f>E2-E1</f>
        <v>3256.01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6" customHeight="1">
      <c r="A4" s="2" t="s">
        <v>956</v>
      </c>
      <c r="B4" s="98">
        <v>30</v>
      </c>
      <c r="C4" s="2"/>
      <c r="D4" s="2"/>
      <c r="E4" s="2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6" customHeight="1">
      <c r="A5" s="2" t="s">
        <v>843</v>
      </c>
      <c r="B5" s="98">
        <v>40</v>
      </c>
      <c r="C5" s="2"/>
      <c r="D5" s="2"/>
      <c r="E5" s="2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6" customHeight="1">
      <c r="A6" s="2" t="s">
        <v>464</v>
      </c>
      <c r="B6" s="98">
        <v>23.59</v>
      </c>
      <c r="C6" s="2"/>
      <c r="D6" s="2"/>
      <c r="E6" s="2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6" customHeight="1">
      <c r="A7" s="2" t="s">
        <v>963</v>
      </c>
      <c r="B7" s="98">
        <v>479.94</v>
      </c>
      <c r="C7" s="2"/>
      <c r="D7" s="2"/>
      <c r="E7" s="2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6" customHeight="1">
      <c r="A8" s="2" t="s">
        <v>964</v>
      </c>
      <c r="B8" s="98">
        <v>45</v>
      </c>
      <c r="C8" s="2"/>
      <c r="D8" s="2"/>
      <c r="E8" s="2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6" customHeight="1">
      <c r="A9" s="2" t="s">
        <v>881</v>
      </c>
      <c r="B9" s="98">
        <v>30</v>
      </c>
      <c r="C9" s="2" t="s">
        <v>477</v>
      </c>
      <c r="D9" s="2"/>
      <c r="E9" s="2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6" customHeight="1">
      <c r="A10" s="2" t="s">
        <v>881</v>
      </c>
      <c r="B10" s="98">
        <v>21.97</v>
      </c>
      <c r="C10" s="2"/>
      <c r="D10" s="2"/>
      <c r="E10" s="2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6" customHeight="1">
      <c r="A11" s="100" t="s">
        <v>876</v>
      </c>
      <c r="B11" s="101">
        <v>150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>
      <c r="A12" s="97" t="s">
        <v>965</v>
      </c>
      <c r="B12" s="102">
        <v>1700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>
      <c r="A13" s="97" t="s">
        <v>464</v>
      </c>
      <c r="B13" s="102">
        <v>26.31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>
      <c r="A14" s="97" t="s">
        <v>863</v>
      </c>
      <c r="B14" s="102">
        <v>20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>
      <c r="A15" s="103" t="s">
        <v>777</v>
      </c>
      <c r="B15" s="102">
        <v>800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>
      <c r="A16" s="97" t="s">
        <v>464</v>
      </c>
      <c r="B16" s="102">
        <v>24.79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>
      <c r="A17" s="97" t="s">
        <v>825</v>
      </c>
      <c r="B17" s="102">
        <v>260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>
      <c r="A18" s="97" t="s">
        <v>810</v>
      </c>
      <c r="B18" s="102">
        <v>500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>
      <c r="A19" s="97" t="s">
        <v>804</v>
      </c>
      <c r="B19" s="102">
        <v>47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>
      <c r="A20" s="97" t="s">
        <v>760</v>
      </c>
      <c r="B20" s="102">
        <v>40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.75" customHeight="1">
      <c r="A21" s="97" t="s">
        <v>863</v>
      </c>
      <c r="B21" s="102">
        <v>50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.75" customHeight="1">
      <c r="A22" s="97" t="s">
        <v>966</v>
      </c>
      <c r="B22" s="102">
        <v>63.54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.75" customHeight="1">
      <c r="A23" s="97" t="s">
        <v>863</v>
      </c>
      <c r="B23" s="102">
        <v>25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.75" customHeight="1">
      <c r="A24" s="97" t="s">
        <v>804</v>
      </c>
      <c r="B24" s="102">
        <v>8.41</v>
      </c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.75" customHeight="1">
      <c r="A25" s="97" t="s">
        <v>42</v>
      </c>
      <c r="B25" s="102">
        <v>107.94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.75" customHeight="1">
      <c r="A26" s="97" t="s">
        <v>655</v>
      </c>
      <c r="B26" s="102">
        <v>12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.75" customHeight="1">
      <c r="A27" s="97" t="s">
        <v>821</v>
      </c>
      <c r="B27" s="102">
        <v>12.5</v>
      </c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.75" customHeight="1">
      <c r="A28" s="97"/>
      <c r="B28" s="102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.75" customHeight="1">
      <c r="A29" s="97"/>
      <c r="B29" s="102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.75" customHeight="1">
      <c r="A30" s="97"/>
      <c r="B30" s="102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.75" customHeight="1">
      <c r="A31" s="97"/>
      <c r="B31" s="102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>
      <c r="A32" s="97"/>
      <c r="B32" s="102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>
      <c r="A33" s="97"/>
      <c r="B33" s="102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>
      <c r="A34" s="97"/>
      <c r="B34" s="102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>
      <c r="A35" s="97"/>
      <c r="B35" s="102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>
      <c r="A36" s="97"/>
      <c r="B36" s="102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>
      <c r="A37" s="97"/>
      <c r="B37" s="102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>
      <c r="A38" s="97"/>
      <c r="B38" s="102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>
      <c r="A39" s="97"/>
      <c r="B39" s="102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>
      <c r="A40" s="97"/>
      <c r="B40" s="102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>
      <c r="A41" s="97"/>
      <c r="B41" s="102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>
      <c r="A42" s="97"/>
      <c r="B42" s="102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>
      <c r="A43" s="97"/>
      <c r="B43" s="102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>
      <c r="A44" s="97"/>
      <c r="B44" s="102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>
      <c r="A45" s="97"/>
      <c r="B45" s="102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>
      <c r="A46" s="97"/>
      <c r="B46" s="102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>
      <c r="A47" s="97"/>
      <c r="B47" s="102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>
      <c r="A48" s="97"/>
      <c r="B48" s="102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>
      <c r="A49" s="97"/>
      <c r="B49" s="102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>
      <c r="A50" s="97"/>
      <c r="B50" s="102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>
      <c r="A51" s="97"/>
      <c r="B51" s="102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>
      <c r="A52" s="97"/>
      <c r="B52" s="102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>
      <c r="A53" s="97"/>
      <c r="B53" s="102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>
      <c r="A54" s="97"/>
      <c r="B54" s="102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>
      <c r="A55" s="97"/>
      <c r="B55" s="102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>
      <c r="A56" s="97"/>
      <c r="B56" s="102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>
      <c r="A57" s="97"/>
      <c r="B57" s="102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>
      <c r="A58" s="97"/>
      <c r="B58" s="102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>
      <c r="A59" s="97"/>
      <c r="B59" s="102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>
      <c r="A60" s="97"/>
      <c r="B60" s="102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>
      <c r="A61" s="97"/>
      <c r="B61" s="102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>
      <c r="A62" s="97"/>
      <c r="B62" s="102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>
      <c r="A63" s="97"/>
      <c r="B63" s="102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>
      <c r="A64" s="97"/>
      <c r="B64" s="102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>
      <c r="A65" s="97"/>
      <c r="B65" s="102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>
      <c r="A66" s="97"/>
      <c r="B66" s="102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>
      <c r="A67" s="97"/>
      <c r="B67" s="102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>
      <c r="A68" s="97"/>
      <c r="B68" s="102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>
      <c r="A69" s="97"/>
      <c r="B69" s="102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>
      <c r="A70" s="97"/>
      <c r="B70" s="102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>
      <c r="A71" s="97"/>
      <c r="B71" s="102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>
      <c r="A72" s="97"/>
      <c r="B72" s="102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>
      <c r="A73" s="97"/>
      <c r="B73" s="102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>
      <c r="A74" s="97"/>
      <c r="B74" s="102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>
      <c r="A75" s="97"/>
      <c r="B75" s="102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>
      <c r="A76" s="97"/>
      <c r="B76" s="102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>
      <c r="A77" s="97"/>
      <c r="B77" s="102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>
      <c r="A78" s="97"/>
      <c r="B78" s="102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>
      <c r="A79" s="97"/>
      <c r="B79" s="102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>
      <c r="A80" s="97"/>
      <c r="B80" s="102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>
      <c r="A81" s="97"/>
      <c r="B81" s="102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>
      <c r="A82" s="97"/>
      <c r="B82" s="102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>
      <c r="A83" s="97"/>
      <c r="B83" s="102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>
      <c r="A84" s="97"/>
      <c r="B84" s="102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>
      <c r="A85" s="97"/>
      <c r="B85" s="102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>
      <c r="A86" s="97"/>
      <c r="B86" s="102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>
      <c r="A87" s="97"/>
      <c r="B87" s="102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>
      <c r="A88" s="97"/>
      <c r="B88" s="102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>
      <c r="A89" s="97"/>
      <c r="B89" s="102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>
      <c r="A90" s="97"/>
      <c r="B90" s="102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>
      <c r="A91" s="97"/>
      <c r="B91" s="102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>
      <c r="A92" s="97"/>
      <c r="B92" s="102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>
      <c r="A93" s="97"/>
      <c r="B93" s="102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>
      <c r="A94" s="97"/>
      <c r="B94" s="102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>
      <c r="A95" s="97"/>
      <c r="B95" s="102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>
      <c r="A96" s="97"/>
      <c r="B96" s="102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>
      <c r="A97" s="97"/>
      <c r="B97" s="102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>
      <c r="A98" s="97"/>
      <c r="B98" s="102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>
      <c r="A99" s="97"/>
      <c r="B99" s="102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>
      <c r="A100" s="97"/>
      <c r="B100" s="102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>
      <c r="A101" s="97"/>
      <c r="B101" s="102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>
      <c r="A102" s="97"/>
      <c r="B102" s="102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>
      <c r="A103" s="97"/>
      <c r="B103" s="102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>
      <c r="A104" s="97"/>
      <c r="B104" s="102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>
      <c r="A105" s="97"/>
      <c r="B105" s="102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>
      <c r="A106" s="97"/>
      <c r="B106" s="102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>
      <c r="A107" s="97"/>
      <c r="B107" s="102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>
      <c r="A108" s="97"/>
      <c r="B108" s="102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>
      <c r="A109" s="97"/>
      <c r="B109" s="102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>
      <c r="A110" s="97"/>
      <c r="B110" s="102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>
      <c r="A111" s="97"/>
      <c r="B111" s="102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>
      <c r="A112" s="97"/>
      <c r="B112" s="102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>
      <c r="A113" s="97"/>
      <c r="B113" s="102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>
      <c r="A114" s="97"/>
      <c r="B114" s="102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>
      <c r="A115" s="97"/>
      <c r="B115" s="102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>
      <c r="A116" s="97"/>
      <c r="B116" s="102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>
      <c r="A117" s="97"/>
      <c r="B117" s="102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>
      <c r="A118" s="97"/>
      <c r="B118" s="102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>
      <c r="A119" s="97"/>
      <c r="B119" s="102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>
      <c r="A120" s="97"/>
      <c r="B120" s="102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>
      <c r="A121" s="97"/>
      <c r="B121" s="102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>
      <c r="A122" s="97"/>
      <c r="B122" s="102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>
      <c r="A123" s="97"/>
      <c r="B123" s="102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>
      <c r="A124" s="97"/>
      <c r="B124" s="102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>
      <c r="A125" s="97"/>
      <c r="B125" s="102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>
      <c r="A126" s="97"/>
      <c r="B126" s="102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>
      <c r="A127" s="97"/>
      <c r="B127" s="102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>
      <c r="A128" s="97"/>
      <c r="B128" s="102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>
      <c r="A129" s="97"/>
      <c r="B129" s="102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>
      <c r="A130" s="97"/>
      <c r="B130" s="102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>
      <c r="A131" s="97"/>
      <c r="B131" s="102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>
      <c r="A132" s="97"/>
      <c r="B132" s="102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>
      <c r="A133" s="97"/>
      <c r="B133" s="102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>
      <c r="A134" s="97"/>
      <c r="B134" s="102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>
      <c r="A135" s="97"/>
      <c r="B135" s="102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>
      <c r="A136" s="97"/>
      <c r="B136" s="102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>
      <c r="A137" s="97"/>
      <c r="B137" s="102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>
      <c r="A138" s="97"/>
      <c r="B138" s="102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>
      <c r="A139" s="97"/>
      <c r="B139" s="102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>
      <c r="A140" s="97"/>
      <c r="B140" s="102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>
      <c r="A141" s="97"/>
      <c r="B141" s="102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>
      <c r="A142" s="97"/>
      <c r="B142" s="102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>
      <c r="A143" s="97"/>
      <c r="B143" s="102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>
      <c r="A144" s="97"/>
      <c r="B144" s="102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>
      <c r="A145" s="97"/>
      <c r="B145" s="102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>
      <c r="A146" s="97"/>
      <c r="B146" s="102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>
      <c r="A147" s="97"/>
      <c r="B147" s="102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>
      <c r="A148" s="97"/>
      <c r="B148" s="102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>
      <c r="A149" s="97"/>
      <c r="B149" s="102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>
      <c r="A150" s="97"/>
      <c r="B150" s="102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>
      <c r="A151" s="97"/>
      <c r="B151" s="102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>
      <c r="A152" s="97"/>
      <c r="B152" s="102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>
      <c r="A153" s="97"/>
      <c r="B153" s="102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>
      <c r="A154" s="97"/>
      <c r="B154" s="102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>
      <c r="A155" s="97"/>
      <c r="B155" s="102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>
      <c r="A156" s="97"/>
      <c r="B156" s="102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>
      <c r="A157" s="97"/>
      <c r="B157" s="102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>
      <c r="A158" s="97"/>
      <c r="B158" s="102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>
      <c r="A159" s="97"/>
      <c r="B159" s="102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>
      <c r="A160" s="97"/>
      <c r="B160" s="102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>
      <c r="A161" s="97"/>
      <c r="B161" s="102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>
      <c r="A162" s="97"/>
      <c r="B162" s="102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>
      <c r="A163" s="97"/>
      <c r="B163" s="102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>
      <c r="A164" s="97"/>
      <c r="B164" s="102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>
      <c r="A165" s="97"/>
      <c r="B165" s="102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>
      <c r="A166" s="97"/>
      <c r="B166" s="102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>
      <c r="A167" s="97"/>
      <c r="B167" s="102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>
      <c r="A168" s="97"/>
      <c r="B168" s="102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>
      <c r="A169" s="97"/>
      <c r="B169" s="102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>
      <c r="A170" s="97"/>
      <c r="B170" s="102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>
      <c r="A171" s="97"/>
      <c r="B171" s="102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>
      <c r="A172" s="97"/>
      <c r="B172" s="102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>
      <c r="A173" s="97"/>
      <c r="B173" s="102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>
      <c r="A174" s="97"/>
      <c r="B174" s="102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>
      <c r="A175" s="97"/>
      <c r="B175" s="102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>
      <c r="A176" s="97"/>
      <c r="B176" s="102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>
      <c r="A177" s="97"/>
      <c r="B177" s="102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>
      <c r="A178" s="97"/>
      <c r="B178" s="102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>
      <c r="A179" s="97"/>
      <c r="B179" s="102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>
      <c r="A180" s="97"/>
      <c r="B180" s="102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>
      <c r="A181" s="97"/>
      <c r="B181" s="102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>
      <c r="A182" s="97"/>
      <c r="B182" s="102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>
      <c r="A183" s="97"/>
      <c r="B183" s="102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>
      <c r="A184" s="97"/>
      <c r="B184" s="102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>
      <c r="A185" s="97"/>
      <c r="B185" s="102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>
      <c r="A186" s="97"/>
      <c r="B186" s="102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>
      <c r="A187" s="97"/>
      <c r="B187" s="102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>
      <c r="A188" s="97"/>
      <c r="B188" s="102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>
      <c r="A189" s="97"/>
      <c r="B189" s="102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>
      <c r="A190" s="97"/>
      <c r="B190" s="102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>
      <c r="A191" s="97"/>
      <c r="B191" s="102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>
      <c r="A192" s="97"/>
      <c r="B192" s="102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>
      <c r="A193" s="97"/>
      <c r="B193" s="102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>
      <c r="A194" s="97"/>
      <c r="B194" s="102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>
      <c r="A195" s="97"/>
      <c r="B195" s="102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>
      <c r="A196" s="97"/>
      <c r="B196" s="102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>
      <c r="A197" s="97"/>
      <c r="B197" s="102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>
      <c r="A198" s="97"/>
      <c r="B198" s="102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>
      <c r="A199" s="97"/>
      <c r="B199" s="102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>
      <c r="A200" s="97"/>
      <c r="B200" s="102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>
      <c r="A201" s="97"/>
      <c r="B201" s="102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>
      <c r="A202" s="97"/>
      <c r="B202" s="102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>
      <c r="A203" s="97"/>
      <c r="B203" s="102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>
      <c r="A204" s="97"/>
      <c r="B204" s="102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>
      <c r="A205" s="97"/>
      <c r="B205" s="102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>
      <c r="A206" s="97"/>
      <c r="B206" s="102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>
      <c r="A207" s="97"/>
      <c r="B207" s="102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>
      <c r="A208" s="97"/>
      <c r="B208" s="102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>
      <c r="A209" s="97"/>
      <c r="B209" s="102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>
      <c r="A210" s="97"/>
      <c r="B210" s="102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>
      <c r="A211" s="97"/>
      <c r="B211" s="102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>
      <c r="A212" s="97"/>
      <c r="B212" s="102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>
      <c r="A213" s="97"/>
      <c r="B213" s="102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>
      <c r="A214" s="97"/>
      <c r="B214" s="102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>
      <c r="A215" s="97"/>
      <c r="B215" s="102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>
      <c r="A216" s="97"/>
      <c r="B216" s="102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>
      <c r="A217" s="97"/>
      <c r="B217" s="102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>
      <c r="A218" s="97"/>
      <c r="B218" s="102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>
      <c r="A219" s="97"/>
      <c r="B219" s="102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>
      <c r="A220" s="97"/>
      <c r="B220" s="102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E22"/>
  <sheetViews>
    <sheetView workbookViewId="0">
      <selection activeCell="E5" sqref="E5"/>
    </sheetView>
  </sheetViews>
  <sheetFormatPr baseColWidth="10" defaultColWidth="12.1640625" defaultRowHeight="15.75" customHeight="1"/>
  <cols>
    <col min="1" max="1" width="12.1640625" style="124" customWidth="1"/>
    <col min="2" max="16384" width="12.1640625" style="124"/>
  </cols>
  <sheetData>
    <row r="1" spans="1:5" ht="15.75" customHeight="1">
      <c r="A1" s="120" t="s">
        <v>787</v>
      </c>
      <c r="B1" s="121" t="s">
        <v>439</v>
      </c>
      <c r="C1" s="120"/>
      <c r="D1" s="122" t="s">
        <v>28</v>
      </c>
      <c r="E1" s="123">
        <f>SUM(B:B)</f>
        <v>3949.3500000000008</v>
      </c>
    </row>
    <row r="2" spans="1:5" ht="15.75" customHeight="1">
      <c r="A2" s="120" t="s">
        <v>854</v>
      </c>
      <c r="B2" s="121">
        <v>3100</v>
      </c>
      <c r="C2" s="120" t="s">
        <v>967</v>
      </c>
      <c r="D2" s="122" t="s">
        <v>788</v>
      </c>
      <c r="E2" s="123">
        <v>5795</v>
      </c>
    </row>
    <row r="3" spans="1:5" ht="15.75" customHeight="1">
      <c r="A3" s="120" t="s">
        <v>279</v>
      </c>
      <c r="B3" s="121">
        <v>322.8</v>
      </c>
      <c r="C3" s="120"/>
      <c r="D3" s="122" t="s">
        <v>790</v>
      </c>
      <c r="E3" s="123">
        <f>E2-E1</f>
        <v>1845.6499999999992</v>
      </c>
    </row>
    <row r="4" spans="1:5" ht="15.75" customHeight="1">
      <c r="A4" s="170" t="s">
        <v>450</v>
      </c>
      <c r="B4" s="171">
        <v>33.299999999999997</v>
      </c>
    </row>
    <row r="5" spans="1:5" ht="15.75" customHeight="1">
      <c r="A5" s="170" t="s">
        <v>754</v>
      </c>
      <c r="B5" s="171">
        <v>36.61</v>
      </c>
      <c r="E5" s="125"/>
    </row>
    <row r="6" spans="1:5" ht="15.75" customHeight="1">
      <c r="A6" s="170" t="s">
        <v>968</v>
      </c>
      <c r="B6" s="171">
        <v>3.8</v>
      </c>
    </row>
    <row r="7" spans="1:5" ht="15.75" customHeight="1">
      <c r="A7" s="170" t="s">
        <v>810</v>
      </c>
      <c r="B7" s="171">
        <v>228</v>
      </c>
    </row>
    <row r="8" spans="1:5" ht="15.75" customHeight="1">
      <c r="A8" s="170" t="s">
        <v>802</v>
      </c>
      <c r="B8" s="171">
        <v>7.38</v>
      </c>
    </row>
    <row r="9" spans="1:5" ht="15.75" customHeight="1">
      <c r="A9" s="170" t="s">
        <v>799</v>
      </c>
      <c r="B9" s="171">
        <v>8</v>
      </c>
      <c r="C9" s="172" t="s">
        <v>489</v>
      </c>
    </row>
    <row r="10" spans="1:5" ht="15.75" customHeight="1">
      <c r="A10" s="170" t="s">
        <v>960</v>
      </c>
      <c r="B10" s="171">
        <v>21.07</v>
      </c>
    </row>
    <row r="11" spans="1:5" ht="15.75" customHeight="1">
      <c r="A11" s="170" t="s">
        <v>143</v>
      </c>
      <c r="B11" s="171">
        <v>88.74</v>
      </c>
    </row>
    <row r="12" spans="1:5" ht="15.75" customHeight="1">
      <c r="A12" s="170" t="s">
        <v>969</v>
      </c>
      <c r="B12" s="171">
        <v>7.59</v>
      </c>
    </row>
    <row r="13" spans="1:5" ht="15.75" customHeight="1">
      <c r="A13" s="170" t="s">
        <v>960</v>
      </c>
      <c r="B13" s="171">
        <v>17.21</v>
      </c>
    </row>
    <row r="14" spans="1:5" ht="15.75" customHeight="1">
      <c r="A14" s="170" t="s">
        <v>754</v>
      </c>
      <c r="B14" s="171">
        <v>44.85</v>
      </c>
    </row>
    <row r="15" spans="1:5" ht="15.75" customHeight="1">
      <c r="A15" s="170" t="s">
        <v>970</v>
      </c>
      <c r="B15" s="171">
        <v>30</v>
      </c>
    </row>
    <row r="16" spans="1:5" ht="15.75" customHeight="1">
      <c r="A16" s="170"/>
      <c r="B16" s="171"/>
    </row>
    <row r="17" spans="1:2" ht="15.75" customHeight="1">
      <c r="A17" s="170"/>
      <c r="B17" s="171"/>
    </row>
    <row r="18" spans="1:2" ht="15.75" customHeight="1">
      <c r="A18" s="170"/>
      <c r="B18" s="171"/>
    </row>
    <row r="19" spans="1:2" ht="15.75" customHeight="1">
      <c r="A19" s="170"/>
      <c r="B19" s="171"/>
    </row>
    <row r="20" spans="1:2" ht="15.75" customHeight="1">
      <c r="A20" s="170"/>
      <c r="B20" s="171"/>
    </row>
    <row r="21" spans="1:2" ht="15.75" customHeight="1">
      <c r="A21" s="170"/>
      <c r="B21" s="171"/>
    </row>
    <row r="22" spans="1:2" ht="15.75" customHeight="1">
      <c r="A22" s="170"/>
      <c r="B22" s="171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E35"/>
  <sheetViews>
    <sheetView workbookViewId="0">
      <selection activeCell="E3" sqref="E3"/>
    </sheetView>
  </sheetViews>
  <sheetFormatPr baseColWidth="10" defaultColWidth="14.5" defaultRowHeight="15" customHeight="1"/>
  <cols>
    <col min="1" max="2" width="14.5" style="93" customWidth="1"/>
    <col min="3" max="3" width="18.83203125" style="93" customWidth="1"/>
    <col min="4" max="4" width="14.5" style="93" customWidth="1"/>
    <col min="5" max="16384" width="14.5" style="93"/>
  </cols>
  <sheetData>
    <row r="1" spans="1:5">
      <c r="A1" s="89" t="s">
        <v>787</v>
      </c>
      <c r="B1" s="90" t="s">
        <v>439</v>
      </c>
      <c r="C1" s="89"/>
      <c r="D1" s="91" t="s">
        <v>28</v>
      </c>
      <c r="E1" s="92">
        <f>SUM(B:B)</f>
        <v>2243.3300000000004</v>
      </c>
    </row>
    <row r="2" spans="1:5">
      <c r="A2" s="89" t="s">
        <v>854</v>
      </c>
      <c r="B2" s="90">
        <v>1400</v>
      </c>
      <c r="C2" s="89"/>
      <c r="D2" s="91" t="s">
        <v>788</v>
      </c>
      <c r="E2" s="92">
        <f>'Stock Data'!L92</f>
        <v>2989.66</v>
      </c>
    </row>
    <row r="3" spans="1:5">
      <c r="A3" s="89" t="s">
        <v>279</v>
      </c>
      <c r="B3" s="90"/>
      <c r="C3" s="89"/>
      <c r="D3" s="91" t="s">
        <v>790</v>
      </c>
      <c r="E3" s="92">
        <f>E2-E1</f>
        <v>746.32999999999947</v>
      </c>
    </row>
    <row r="4" spans="1:5">
      <c r="A4" s="94" t="s">
        <v>777</v>
      </c>
      <c r="B4" s="95">
        <v>250</v>
      </c>
    </row>
    <row r="5" spans="1:5">
      <c r="A5" s="94" t="s">
        <v>971</v>
      </c>
      <c r="B5" s="95">
        <v>360</v>
      </c>
    </row>
    <row r="6" spans="1:5">
      <c r="A6" s="94" t="s">
        <v>464</v>
      </c>
      <c r="B6" s="95">
        <v>24.86</v>
      </c>
    </row>
    <row r="7" spans="1:5">
      <c r="A7" s="94" t="s">
        <v>972</v>
      </c>
      <c r="B7" s="95">
        <v>75.66</v>
      </c>
    </row>
    <row r="8" spans="1:5">
      <c r="A8" s="94" t="s">
        <v>464</v>
      </c>
      <c r="B8" s="95">
        <v>16.170000000000002</v>
      </c>
    </row>
    <row r="9" spans="1:5">
      <c r="A9" s="94" t="s">
        <v>754</v>
      </c>
      <c r="B9" s="95">
        <v>7.26</v>
      </c>
    </row>
    <row r="10" spans="1:5">
      <c r="A10" s="94" t="s">
        <v>464</v>
      </c>
      <c r="B10" s="95">
        <v>24.1</v>
      </c>
    </row>
    <row r="11" spans="1:5">
      <c r="A11" s="94" t="s">
        <v>655</v>
      </c>
      <c r="B11" s="95">
        <v>25</v>
      </c>
    </row>
    <row r="12" spans="1:5">
      <c r="A12" s="94" t="s">
        <v>464</v>
      </c>
      <c r="B12" s="95">
        <v>20.28</v>
      </c>
    </row>
    <row r="13" spans="1:5">
      <c r="A13" s="94" t="s">
        <v>760</v>
      </c>
      <c r="B13" s="95">
        <v>40</v>
      </c>
    </row>
    <row r="14" spans="1:5">
      <c r="A14" s="94"/>
      <c r="B14" s="95"/>
    </row>
    <row r="15" spans="1:5">
      <c r="A15" s="94"/>
      <c r="B15" s="95"/>
    </row>
    <row r="16" spans="1:5">
      <c r="A16" s="94"/>
      <c r="B16" s="95"/>
    </row>
    <row r="17" spans="1:2">
      <c r="A17" s="94"/>
      <c r="B17" s="95"/>
    </row>
    <row r="18" spans="1:2">
      <c r="A18" s="94"/>
      <c r="B18" s="95"/>
    </row>
    <row r="19" spans="1:2">
      <c r="A19" s="94"/>
      <c r="B19" s="95"/>
    </row>
    <row r="20" spans="1:2">
      <c r="A20" s="94"/>
      <c r="B20" s="95"/>
    </row>
    <row r="21" spans="1:2">
      <c r="A21" s="94"/>
      <c r="B21" s="95"/>
    </row>
    <row r="22" spans="1:2">
      <c r="A22" s="94"/>
      <c r="B22" s="95"/>
    </row>
    <row r="23" spans="1:2">
      <c r="A23" s="94"/>
      <c r="B23" s="95"/>
    </row>
    <row r="24" spans="1:2">
      <c r="A24" s="94"/>
      <c r="B24" s="95"/>
    </row>
    <row r="25" spans="1:2">
      <c r="A25" s="94"/>
      <c r="B25" s="95"/>
    </row>
    <row r="26" spans="1:2">
      <c r="A26" s="94"/>
      <c r="B26" s="95"/>
    </row>
    <row r="27" spans="1:2">
      <c r="A27" s="94"/>
      <c r="B27" s="95"/>
    </row>
    <row r="28" spans="1:2">
      <c r="A28" s="94"/>
      <c r="B28" s="95"/>
    </row>
    <row r="29" spans="1:2">
      <c r="A29" s="94"/>
      <c r="B29" s="95"/>
    </row>
    <row r="30" spans="1:2">
      <c r="A30" s="94"/>
      <c r="B30" s="95"/>
    </row>
    <row r="31" spans="1:2">
      <c r="A31" s="94"/>
      <c r="B31" s="95"/>
    </row>
    <row r="32" spans="1:2">
      <c r="B32" s="95"/>
    </row>
    <row r="33" spans="2:2">
      <c r="B33" s="95"/>
    </row>
    <row r="34" spans="2:2">
      <c r="B34" s="95"/>
    </row>
    <row r="35" spans="2:2">
      <c r="B35" s="95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E35"/>
  <sheetViews>
    <sheetView workbookViewId="0">
      <selection activeCell="C13" sqref="C13"/>
    </sheetView>
  </sheetViews>
  <sheetFormatPr baseColWidth="10" defaultColWidth="14.5" defaultRowHeight="15" customHeight="1"/>
  <cols>
    <col min="1" max="2" width="14.5" style="93" customWidth="1"/>
    <col min="3" max="3" width="18.83203125" style="93" customWidth="1"/>
    <col min="4" max="4" width="14.5" style="93" customWidth="1"/>
    <col min="5" max="16384" width="14.5" style="93"/>
  </cols>
  <sheetData>
    <row r="1" spans="1:5">
      <c r="A1" s="89" t="s">
        <v>787</v>
      </c>
      <c r="B1" s="90" t="s">
        <v>439</v>
      </c>
      <c r="C1" s="89"/>
      <c r="D1" s="91" t="s">
        <v>28</v>
      </c>
      <c r="E1" s="92">
        <f>SUM(B:B)</f>
        <v>2386.8699999999994</v>
      </c>
    </row>
    <row r="2" spans="1:5">
      <c r="A2" s="89" t="s">
        <v>854</v>
      </c>
      <c r="B2" s="90">
        <v>2000</v>
      </c>
      <c r="C2" s="89"/>
      <c r="D2" s="91" t="s">
        <v>788</v>
      </c>
      <c r="E2" s="92">
        <v>4695</v>
      </c>
    </row>
    <row r="3" spans="1:5">
      <c r="A3" s="89" t="s">
        <v>754</v>
      </c>
      <c r="B3" s="90">
        <v>15.08</v>
      </c>
      <c r="C3" s="89"/>
      <c r="D3" s="91" t="s">
        <v>790</v>
      </c>
      <c r="E3" s="92">
        <f>E2-E1</f>
        <v>2308.1300000000006</v>
      </c>
    </row>
    <row r="4" spans="1:5">
      <c r="A4" s="94" t="s">
        <v>464</v>
      </c>
      <c r="B4" s="90">
        <v>21.43</v>
      </c>
    </row>
    <row r="5" spans="1:5">
      <c r="A5" s="94" t="s">
        <v>973</v>
      </c>
      <c r="B5" s="90">
        <v>6.99</v>
      </c>
    </row>
    <row r="6" spans="1:5">
      <c r="A6" s="89" t="s">
        <v>881</v>
      </c>
      <c r="B6" s="90">
        <v>10.02</v>
      </c>
    </row>
    <row r="7" spans="1:5">
      <c r="A7" s="94" t="s">
        <v>655</v>
      </c>
      <c r="B7" s="90">
        <v>10</v>
      </c>
    </row>
    <row r="8" spans="1:5">
      <c r="A8" s="94" t="s">
        <v>974</v>
      </c>
      <c r="B8" s="90">
        <v>70.739999999999995</v>
      </c>
    </row>
    <row r="9" spans="1:5">
      <c r="A9" s="89" t="s">
        <v>655</v>
      </c>
      <c r="B9" s="90">
        <v>25</v>
      </c>
    </row>
    <row r="10" spans="1:5">
      <c r="A10" s="94" t="s">
        <v>464</v>
      </c>
      <c r="B10" s="90">
        <v>15.71</v>
      </c>
    </row>
    <row r="11" spans="1:5">
      <c r="A11" s="94" t="s">
        <v>42</v>
      </c>
      <c r="B11" s="90">
        <v>69.95</v>
      </c>
    </row>
    <row r="12" spans="1:5">
      <c r="A12" s="89" t="s">
        <v>931</v>
      </c>
      <c r="B12" s="90">
        <v>9.9499999999999993</v>
      </c>
    </row>
    <row r="13" spans="1:5">
      <c r="A13" s="94" t="s">
        <v>975</v>
      </c>
      <c r="B13" s="90">
        <v>132</v>
      </c>
    </row>
    <row r="14" spans="1:5">
      <c r="A14" s="94"/>
      <c r="B14" s="90"/>
    </row>
    <row r="15" spans="1:5">
      <c r="A15" s="89"/>
      <c r="B15" s="90"/>
    </row>
    <row r="16" spans="1:5">
      <c r="A16" s="94"/>
      <c r="B16" s="90"/>
    </row>
    <row r="17" spans="1:2">
      <c r="A17" s="94"/>
      <c r="B17" s="90"/>
    </row>
    <row r="18" spans="1:2">
      <c r="A18" s="89"/>
      <c r="B18" s="90"/>
    </row>
    <row r="19" spans="1:2">
      <c r="A19" s="94"/>
      <c r="B19" s="90"/>
    </row>
    <row r="20" spans="1:2">
      <c r="A20" s="94"/>
      <c r="B20" s="90"/>
    </row>
    <row r="21" spans="1:2">
      <c r="A21" s="89"/>
      <c r="B21" s="90"/>
    </row>
    <row r="22" spans="1:2">
      <c r="A22" s="94"/>
      <c r="B22" s="90"/>
    </row>
    <row r="23" spans="1:2">
      <c r="A23" s="94"/>
      <c r="B23" s="90"/>
    </row>
    <row r="24" spans="1:2">
      <c r="A24" s="94"/>
      <c r="B24" s="90"/>
    </row>
    <row r="25" spans="1:2">
      <c r="A25" s="94"/>
      <c r="B25" s="90"/>
    </row>
    <row r="26" spans="1:2">
      <c r="A26" s="94"/>
      <c r="B26" s="90"/>
    </row>
    <row r="27" spans="1:2">
      <c r="A27" s="94"/>
      <c r="B27" s="95"/>
    </row>
    <row r="28" spans="1:2">
      <c r="A28" s="94"/>
      <c r="B28" s="95"/>
    </row>
    <row r="29" spans="1:2">
      <c r="A29" s="94"/>
      <c r="B29" s="95"/>
    </row>
    <row r="30" spans="1:2">
      <c r="A30" s="94"/>
      <c r="B30" s="95"/>
    </row>
    <row r="31" spans="1:2">
      <c r="A31" s="94"/>
      <c r="B31" s="95"/>
    </row>
    <row r="32" spans="1:2">
      <c r="B32" s="95"/>
    </row>
    <row r="33" spans="2:2">
      <c r="B33" s="95"/>
    </row>
    <row r="34" spans="2:2">
      <c r="B34" s="95"/>
    </row>
    <row r="35" spans="2:2">
      <c r="B35" s="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Front Sheet</vt:lpstr>
      <vt:lpstr>Sold Stock</vt:lpstr>
      <vt:lpstr>Stock Data</vt:lpstr>
      <vt:lpstr>Collection</vt:lpstr>
      <vt:lpstr>Investor Budget</vt:lpstr>
      <vt:lpstr>SOR</vt:lpstr>
      <vt:lpstr>Investor Car Expense</vt:lpstr>
      <vt:lpstr>Expense</vt:lpstr>
      <vt:lpstr>Fuel Expense</vt:lpstr>
      <vt:lpstr>Money in</vt:lpstr>
      <vt:lpstr>Cash Spending</vt:lpstr>
      <vt:lpstr>Money Out</vt:lpstr>
      <vt:lpstr>Kia Sportage ML20 YZW</vt:lpstr>
      <vt:lpstr>520D M Sport RJ65 VVN</vt:lpstr>
      <vt:lpstr>520D Lux NG64 EOH</vt:lpstr>
      <vt:lpstr>A6 YY62 XJW</vt:lpstr>
      <vt:lpstr>A6 Allroad DL15 WDA </vt:lpstr>
      <vt:lpstr>A3 E-Tron KM64 XCX</vt:lpstr>
      <vt:lpstr>Audi A6 VE16 TNO</vt:lpstr>
      <vt:lpstr>CLA Estate YR16 XCB</vt:lpstr>
      <vt:lpstr>Smart X65 YJL</vt:lpstr>
      <vt:lpstr>Kuga EJ68 WVM</vt:lpstr>
      <vt:lpstr>LY18 ZDV A200D</vt:lpstr>
      <vt:lpstr>Merc C220D SE66 OFZ</vt:lpstr>
      <vt:lpstr>Mazda CX3 AY17 YWX</vt:lpstr>
      <vt:lpstr>Mazda 3 FY67 WDE</vt:lpstr>
      <vt:lpstr>CLA 200 WU66 MJX</vt:lpstr>
      <vt:lpstr>BMW 330E RX67 WPN</vt:lpstr>
      <vt:lpstr>CLA 220 KU67 PWY</vt:lpstr>
      <vt:lpstr>Audi A4 BG63 VYM</vt:lpstr>
      <vt:lpstr>520D CF15 OWA</vt:lpstr>
      <vt:lpstr>520D YK66 DWU</vt:lpstr>
      <vt:lpstr>Mazda CX5 EJ14 PTX</vt:lpstr>
      <vt:lpstr>520D SA14 SYO</vt:lpstr>
      <vt:lpstr>Q5 KM62 XFN</vt:lpstr>
      <vt:lpstr>Merc C200 HF64 PLZ</vt:lpstr>
      <vt:lpstr>A5 LJ13 UAC</vt:lpstr>
      <vt:lpstr>Golf R VX16 XJU</vt:lpstr>
      <vt:lpstr>Passat PL18 KLM</vt:lpstr>
      <vt:lpstr>A6 DN14 WEP</vt:lpstr>
      <vt:lpstr>C Class BJ64 OSE</vt:lpstr>
      <vt:lpstr>Mazda 6 WA13XCV</vt:lpstr>
      <vt:lpstr>POLO GTI BK61 SWZ</vt:lpstr>
      <vt:lpstr>GOLF RJ14 YZN</vt:lpstr>
      <vt:lpstr>CLA FV14 MYL</vt:lpstr>
      <vt:lpstr>Fiesta FN62HKO</vt:lpstr>
      <vt:lpstr>Polo GTI VK62 THV</vt:lpstr>
      <vt:lpstr>Corsa YY65 CAU</vt:lpstr>
      <vt:lpstr>P2008 LS66 SVA</vt:lpstr>
      <vt:lpstr>BMW 318D S88 RDF</vt:lpstr>
      <vt:lpstr>P3008 MF15 OPJ</vt:lpstr>
      <vt:lpstr>Audi A1 EN63 TKA </vt:lpstr>
      <vt:lpstr>A5 WJ62 UVS</vt:lpstr>
      <vt:lpstr>Fabia GN66 YWZ PX</vt:lpstr>
      <vt:lpstr>Mokka LS13 UKA</vt:lpstr>
      <vt:lpstr>BMW 328i YB61</vt:lpstr>
      <vt:lpstr>Peugeot 2008 EU14</vt:lpstr>
      <vt:lpstr>BMW 518D PG66</vt:lpstr>
      <vt:lpstr>Ford Mondeo DG68</vt:lpstr>
      <vt:lpstr>Smart Premium SR16 HKT</vt:lpstr>
      <vt:lpstr>BMW 120D PE65 LXZ</vt:lpstr>
      <vt:lpstr>Suzuki Swift YB68 XYT</vt:lpstr>
      <vt:lpstr>Octavia VRS GY14 BZC</vt:lpstr>
      <vt:lpstr>BMW 520D EJ14</vt:lpstr>
      <vt:lpstr>Mitsubishi DN16 YXF</vt:lpstr>
      <vt:lpstr>Fiat 500 LK15</vt:lpstr>
      <vt:lpstr>Audi A3 LG61 RTV</vt:lpstr>
      <vt:lpstr>Audi A7 OV61 WKH</vt:lpstr>
      <vt:lpstr>Fiat 500 LM64 FWU</vt:lpstr>
      <vt:lpstr>Polo GT CV65</vt:lpstr>
      <vt:lpstr>Nissan Note RV62 UMD</vt:lpstr>
      <vt:lpstr>BMW GT SV63 KKO</vt:lpstr>
      <vt:lpstr>BMW SX14 KKH</vt:lpstr>
      <vt:lpstr>Polo CY64 ACO</vt:lpstr>
      <vt:lpstr>Audi A3 HG08 EPZ</vt:lpstr>
      <vt:lpstr>Mazda 6</vt:lpstr>
      <vt:lpstr>Honda CRV KU13 FBF</vt:lpstr>
      <vt:lpstr>Audi A4 YB15GRU</vt:lpstr>
      <vt:lpstr>Polo MF14 TUH</vt:lpstr>
      <vt:lpstr>Jaguar XF OY61 UTH</vt:lpstr>
      <vt:lpstr>Peugot 107 LN11 </vt:lpstr>
      <vt:lpstr>Polo BlueGT CE65 MJJ</vt:lpstr>
      <vt:lpstr>Golf Match LR15 EUT</vt:lpstr>
      <vt:lpstr>Kuga VX15 DYU</vt:lpstr>
      <vt:lpstr>Fiat 500 CX14 PVO</vt:lpstr>
      <vt:lpstr>Fiat 500 YB65 XPP</vt:lpstr>
      <vt:lpstr>Audi S5 SP08 KLX </vt:lpstr>
      <vt:lpstr>Audi A5 ET65 BWO</vt:lpstr>
      <vt:lpstr>Nissan Juke PK64 LRL</vt:lpstr>
      <vt:lpstr>Fiat 500 WM63 XCE Grey</vt:lpstr>
      <vt:lpstr>Nissan Micra NL55 YXG</vt:lpstr>
      <vt:lpstr>Polo HG57</vt:lpstr>
      <vt:lpstr>Volkswagen Polo JFZ 1824</vt:lpstr>
      <vt:lpstr>Smart Fortwo YT63 ENJ (B)</vt:lpstr>
      <vt:lpstr>Nissan Qashqai KM17 YTV</vt:lpstr>
      <vt:lpstr>Audi A1 EJ11</vt:lpstr>
      <vt:lpstr>Audi A1 MF12</vt:lpstr>
      <vt:lpstr>Ford Fiesta EA65 NDL</vt:lpstr>
      <vt:lpstr>Nissan Navara WD63 NXU</vt:lpstr>
      <vt:lpstr>Ford Fiesta MK59 FUV</vt:lpstr>
      <vt:lpstr>Nissan Note HY10 RRO</vt:lpstr>
      <vt:lpstr>Fiat 500 DP64CXV 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Joseph</dc:creator>
  <cp:lastModifiedBy>Parham Heydari</cp:lastModifiedBy>
  <dcterms:created xsi:type="dcterms:W3CDTF">2015-06-05T18:19:34Z</dcterms:created>
  <dcterms:modified xsi:type="dcterms:W3CDTF">2026-04-13T00:33:26Z</dcterms:modified>
</cp:coreProperties>
</file>